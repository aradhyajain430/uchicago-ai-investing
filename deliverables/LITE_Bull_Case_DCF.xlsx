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30326"/>
  <workbookPr defaultThemeVersion="124226"/>
  <mc:AlternateContent xmlns:mc="http://schemas.openxmlformats.org/markup-compatibility/2006">
    <mc:Choice Requires="x15">
      <x15ac:absPath xmlns:x15ac="http://schemas.microsoft.com/office/spreadsheetml/2010/11/ac" url="https://d.docs.live.net/161de13a162b8962/Desktop/UChicago AI investing/deliverables/"/>
    </mc:Choice>
  </mc:AlternateContent>
  <xr:revisionPtr revIDLastSave="0" documentId="11_B23F7BCF431B796B43A6E02DA9023656CDF96AB2" xr6:coauthVersionLast="47" xr6:coauthVersionMax="47" xr10:uidLastSave="{00000000-0000-0000-0000-000000000000}"/>
  <bookViews>
    <workbookView xWindow="-110" yWindow="-110" windowWidth="25820" windowHeight="15500" xr2:uid="{00000000-000D-0000-FFFF-FFFF00000000}"/>
  </bookViews>
  <sheets>
    <sheet name="Summary" sheetId="1" r:id="rId1"/>
    <sheet name="Assumptions" sheetId="2" r:id="rId2"/>
    <sheet name="Segments" sheetId="3" r:id="rId3"/>
    <sheet name="Bull" sheetId="4" r:id="rId4"/>
    <sheet name="Base" sheetId="5" r:id="rId5"/>
    <sheet name="Bear" sheetId="6" r:id="rId6"/>
    <sheet name="WACC" sheetId="7" r:id="rId7"/>
    <sheet name="Capital" sheetId="8" r:id="rId8"/>
    <sheet name="Sensitivity" sheetId="9" r:id="rId9"/>
    <sheet name="Reverse DCF" sheetId="10" r:id="rId10"/>
    <sheet name="Fear Unwind" sheetId="11" r:id="rId11"/>
    <sheet name="Comps" sheetId="12" r:id="rId12"/>
    <sheet name="Bear Liquidity" sheetId="13" r:id="rId13"/>
    <sheet name="Sources" sheetId="14" r:id="rId14"/>
    <sheet name="AI and Q&amp;A" sheetId="15" r:id="rId15"/>
    <sheet name="Checks" sheetId="16" r:id="rId16"/>
  </sheets>
  <definedNames>
    <definedName name="_xlnm.Print_Area" localSheetId="4">Base!$A$1:$K$69</definedName>
    <definedName name="_xlnm.Print_Area" localSheetId="5">Bear!$A$1:$K$69</definedName>
    <definedName name="_xlnm.Print_Area" localSheetId="3">Bull!$A$1:$K$69</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B17" i="16" l="1"/>
  <c r="C17" i="16" s="1"/>
  <c r="B13" i="16"/>
  <c r="C13" i="16" s="1"/>
  <c r="B13" i="13"/>
  <c r="C13" i="13" s="1"/>
  <c r="D13" i="13" s="1"/>
  <c r="B8" i="13"/>
  <c r="F10" i="12"/>
  <c r="F9" i="12"/>
  <c r="F8" i="12"/>
  <c r="B16" i="11"/>
  <c r="B15" i="11"/>
  <c r="B14" i="11"/>
  <c r="B13" i="11"/>
  <c r="B12" i="11"/>
  <c r="F41" i="10"/>
  <c r="E41" i="10"/>
  <c r="D41" i="10"/>
  <c r="C41" i="10"/>
  <c r="K37" i="10"/>
  <c r="J37" i="10"/>
  <c r="I37" i="10"/>
  <c r="H37" i="10"/>
  <c r="G37" i="10"/>
  <c r="F37" i="10"/>
  <c r="E37" i="10"/>
  <c r="D37" i="10"/>
  <c r="C37" i="10"/>
  <c r="B37" i="10"/>
  <c r="J15" i="10"/>
  <c r="K11" i="10"/>
  <c r="J11" i="10"/>
  <c r="I11" i="10"/>
  <c r="H11" i="10"/>
  <c r="G11" i="10"/>
  <c r="F11" i="10"/>
  <c r="E11" i="10"/>
  <c r="D11" i="10"/>
  <c r="C11" i="10"/>
  <c r="B11" i="10"/>
  <c r="B32" i="8"/>
  <c r="B29" i="8"/>
  <c r="B33" i="8" s="1"/>
  <c r="D60" i="6" s="1"/>
  <c r="D28" i="8"/>
  <c r="D27" i="8"/>
  <c r="D26" i="8"/>
  <c r="D25" i="8"/>
  <c r="B17" i="8"/>
  <c r="B18" i="8" s="1"/>
  <c r="D63" i="6" s="1"/>
  <c r="B23" i="7"/>
  <c r="C11" i="13" s="1"/>
  <c r="B18" i="7"/>
  <c r="E10" i="7"/>
  <c r="G10" i="7" s="1"/>
  <c r="E9" i="7"/>
  <c r="G9" i="7" s="1"/>
  <c r="E8" i="7"/>
  <c r="G8" i="7" s="1"/>
  <c r="J74" i="6"/>
  <c r="H74" i="6"/>
  <c r="J73" i="6"/>
  <c r="H73" i="6"/>
  <c r="J72" i="6"/>
  <c r="H72" i="6"/>
  <c r="J71" i="6"/>
  <c r="H71" i="6"/>
  <c r="D61" i="6"/>
  <c r="B61" i="6"/>
  <c r="B60" i="6"/>
  <c r="D59" i="6"/>
  <c r="B59" i="6"/>
  <c r="K37" i="6"/>
  <c r="J37" i="6"/>
  <c r="I37" i="6"/>
  <c r="H37" i="6"/>
  <c r="D37" i="6"/>
  <c r="C37" i="6"/>
  <c r="B37" i="6"/>
  <c r="K36" i="6"/>
  <c r="J36" i="6"/>
  <c r="I36" i="6"/>
  <c r="H36" i="6"/>
  <c r="G36" i="6"/>
  <c r="F36" i="6"/>
  <c r="E36" i="6"/>
  <c r="D36" i="6"/>
  <c r="C36" i="6"/>
  <c r="B36" i="6"/>
  <c r="B20" i="6"/>
  <c r="B29" i="6" s="1"/>
  <c r="C19" i="6"/>
  <c r="D19" i="6" s="1"/>
  <c r="E19" i="6" s="1"/>
  <c r="F19" i="6" s="1"/>
  <c r="G19" i="6" s="1"/>
  <c r="H19" i="6" s="1"/>
  <c r="I19" i="6" s="1"/>
  <c r="J19" i="6" s="1"/>
  <c r="K19" i="6" s="1"/>
  <c r="C18" i="6"/>
  <c r="K12" i="6"/>
  <c r="J12" i="6"/>
  <c r="I12" i="6"/>
  <c r="H12" i="6"/>
  <c r="G12" i="6"/>
  <c r="F12" i="6"/>
  <c r="E12" i="6"/>
  <c r="D12" i="6"/>
  <c r="C12" i="6"/>
  <c r="B12" i="6"/>
  <c r="J74" i="5"/>
  <c r="H74" i="5"/>
  <c r="J73" i="5"/>
  <c r="H73" i="5"/>
  <c r="J72" i="5"/>
  <c r="H72" i="5"/>
  <c r="J71" i="5"/>
  <c r="H71" i="5"/>
  <c r="D61" i="5"/>
  <c r="B61" i="5"/>
  <c r="D60" i="5"/>
  <c r="B60" i="5"/>
  <c r="D59" i="5"/>
  <c r="B59" i="5"/>
  <c r="K37" i="5"/>
  <c r="G37" i="5"/>
  <c r="F37" i="5"/>
  <c r="E37" i="5"/>
  <c r="B37" i="5"/>
  <c r="K36" i="5"/>
  <c r="J36" i="5"/>
  <c r="I36" i="5"/>
  <c r="H36" i="5"/>
  <c r="G36" i="5"/>
  <c r="F36" i="5"/>
  <c r="E36" i="5"/>
  <c r="D36" i="5"/>
  <c r="C36" i="5"/>
  <c r="B36" i="5"/>
  <c r="K12" i="5"/>
  <c r="J12" i="5"/>
  <c r="I12" i="5"/>
  <c r="H12" i="5"/>
  <c r="G12" i="5"/>
  <c r="F12" i="5"/>
  <c r="E12" i="5"/>
  <c r="D12" i="5"/>
  <c r="C12" i="5"/>
  <c r="B12" i="5"/>
  <c r="J74" i="4"/>
  <c r="H74" i="4"/>
  <c r="J73" i="4"/>
  <c r="H73" i="4"/>
  <c r="J72" i="4"/>
  <c r="H72" i="4"/>
  <c r="J71" i="4"/>
  <c r="H71" i="4"/>
  <c r="D61" i="4"/>
  <c r="B61" i="4"/>
  <c r="D59" i="4"/>
  <c r="B59" i="4"/>
  <c r="K37" i="4"/>
  <c r="J37" i="4"/>
  <c r="I37" i="4"/>
  <c r="H37" i="4"/>
  <c r="K36" i="4"/>
  <c r="J36" i="4"/>
  <c r="I36" i="4"/>
  <c r="H36" i="4"/>
  <c r="G36" i="4"/>
  <c r="F36" i="4"/>
  <c r="E36" i="4"/>
  <c r="D36" i="4"/>
  <c r="C36" i="4"/>
  <c r="B36" i="4"/>
  <c r="K12" i="4"/>
  <c r="J12" i="4"/>
  <c r="I12" i="4"/>
  <c r="H12" i="4"/>
  <c r="G12" i="4"/>
  <c r="F12" i="4"/>
  <c r="E12" i="4"/>
  <c r="D12" i="4"/>
  <c r="C12" i="4"/>
  <c r="B12" i="4"/>
  <c r="K10" i="4"/>
  <c r="D18" i="1" s="1"/>
  <c r="J10" i="4"/>
  <c r="I10" i="4"/>
  <c r="I15" i="10" s="1"/>
  <c r="H10" i="4"/>
  <c r="H15" i="10" s="1"/>
  <c r="G10" i="4"/>
  <c r="G15" i="10" s="1"/>
  <c r="F10" i="4"/>
  <c r="F15" i="10" s="1"/>
  <c r="E10" i="4"/>
  <c r="E15" i="10" s="1"/>
  <c r="D10" i="4"/>
  <c r="D15" i="10" s="1"/>
  <c r="C10" i="4"/>
  <c r="C15" i="10" s="1"/>
  <c r="B10" i="4"/>
  <c r="B41" i="10" s="1"/>
  <c r="B23" i="3"/>
  <c r="B25" i="3" s="1"/>
  <c r="C18" i="3"/>
  <c r="B18" i="3"/>
  <c r="D9" i="3"/>
  <c r="E9" i="3" s="1"/>
  <c r="B8" i="3"/>
  <c r="B15" i="3" s="1"/>
  <c r="B19" i="4" s="1"/>
  <c r="B29" i="1"/>
  <c r="B28" i="1"/>
  <c r="B27" i="1"/>
  <c r="B25" i="1"/>
  <c r="E37" i="6" s="1"/>
  <c r="C18" i="1"/>
  <c r="B18" i="1"/>
  <c r="B8" i="1"/>
  <c r="B30" i="6" l="1"/>
  <c r="B31" i="6" s="1"/>
  <c r="B19" i="5"/>
  <c r="B23" i="6"/>
  <c r="B15" i="1"/>
  <c r="D11" i="13"/>
  <c r="D29" i="8"/>
  <c r="B37" i="4"/>
  <c r="C37" i="5"/>
  <c r="B24" i="6"/>
  <c r="B11" i="13"/>
  <c r="G37" i="4"/>
  <c r="D37" i="5"/>
  <c r="B39" i="10"/>
  <c r="B13" i="10"/>
  <c r="D18" i="6"/>
  <c r="C20" i="6"/>
  <c r="F9" i="3"/>
  <c r="E13" i="13"/>
  <c r="E11" i="13"/>
  <c r="B7" i="3"/>
  <c r="C8" i="3"/>
  <c r="D63" i="4"/>
  <c r="B63" i="4"/>
  <c r="B28" i="6"/>
  <c r="B31" i="8"/>
  <c r="B17" i="7" s="1"/>
  <c r="B24" i="7" s="1"/>
  <c r="B25" i="7" s="1"/>
  <c r="B29" i="7" s="1"/>
  <c r="G41" i="10"/>
  <c r="B16" i="7"/>
  <c r="B20" i="7" s="1"/>
  <c r="B21" i="7" s="1"/>
  <c r="B15" i="10"/>
  <c r="J41" i="10"/>
  <c r="H41" i="10"/>
  <c r="B9" i="16"/>
  <c r="C9" i="16" s="1"/>
  <c r="K15" i="10"/>
  <c r="K41" i="10"/>
  <c r="I41" i="10"/>
  <c r="B21" i="6"/>
  <c r="B60" i="4"/>
  <c r="D60" i="4"/>
  <c r="B63" i="6"/>
  <c r="D63" i="5"/>
  <c r="B63" i="5"/>
  <c r="I37" i="5"/>
  <c r="F37" i="6"/>
  <c r="J37" i="5"/>
  <c r="G37" i="6"/>
  <c r="C37" i="4"/>
  <c r="D37" i="4"/>
  <c r="E37" i="4"/>
  <c r="F37" i="4"/>
  <c r="H37" i="5"/>
  <c r="B25" i="6" l="1"/>
  <c r="C7" i="3"/>
  <c r="C19" i="5"/>
  <c r="D8" i="3"/>
  <c r="C15" i="3"/>
  <c r="C19" i="4" s="1"/>
  <c r="B18" i="5"/>
  <c r="B20" i="5" s="1"/>
  <c r="B14" i="3"/>
  <c r="G9" i="3"/>
  <c r="C29" i="6"/>
  <c r="C24" i="6"/>
  <c r="C28" i="6"/>
  <c r="C21" i="6"/>
  <c r="C23" i="6"/>
  <c r="C25" i="6" s="1"/>
  <c r="C30" i="6"/>
  <c r="C31" i="6" s="1"/>
  <c r="B26" i="7"/>
  <c r="F13" i="13"/>
  <c r="F11" i="13"/>
  <c r="E18" i="6"/>
  <c r="D20" i="6"/>
  <c r="B33" i="6" l="1"/>
  <c r="B26" i="6"/>
  <c r="B27" i="6" s="1"/>
  <c r="B32" i="6" s="1"/>
  <c r="B34" i="6"/>
  <c r="B24" i="5"/>
  <c r="B21" i="5"/>
  <c r="B28" i="5"/>
  <c r="B30" i="5"/>
  <c r="B31" i="5" s="1"/>
  <c r="C15" i="1"/>
  <c r="B23" i="5"/>
  <c r="B25" i="5" s="1"/>
  <c r="B29" i="5"/>
  <c r="C14" i="3"/>
  <c r="C18" i="5"/>
  <c r="C20" i="5" s="1"/>
  <c r="C38" i="4"/>
  <c r="B22" i="16"/>
  <c r="C22" i="16" s="1"/>
  <c r="I38" i="6"/>
  <c r="H38" i="6"/>
  <c r="K38" i="5"/>
  <c r="G38" i="6"/>
  <c r="J38" i="5"/>
  <c r="I38" i="5"/>
  <c r="F38" i="6"/>
  <c r="E38" i="6"/>
  <c r="H38" i="5"/>
  <c r="D38" i="6"/>
  <c r="E38" i="4"/>
  <c r="D38" i="4"/>
  <c r="B38" i="4"/>
  <c r="K38" i="6"/>
  <c r="C38" i="6"/>
  <c r="J38" i="6"/>
  <c r="B38" i="6"/>
  <c r="B39" i="6" s="1"/>
  <c r="E38" i="5"/>
  <c r="G38" i="4"/>
  <c r="G38" i="5"/>
  <c r="C38" i="5"/>
  <c r="F38" i="5"/>
  <c r="H38" i="4"/>
  <c r="K38" i="4"/>
  <c r="J38" i="4"/>
  <c r="D38" i="5"/>
  <c r="B38" i="5"/>
  <c r="I38" i="4"/>
  <c r="F38" i="4"/>
  <c r="C34" i="6"/>
  <c r="C26" i="6"/>
  <c r="C27" i="6" s="1"/>
  <c r="C32" i="6" s="1"/>
  <c r="C33" i="6"/>
  <c r="H9" i="3"/>
  <c r="B18" i="4"/>
  <c r="B16" i="3"/>
  <c r="C13" i="10"/>
  <c r="C39" i="10"/>
  <c r="E8" i="3"/>
  <c r="D19" i="5"/>
  <c r="D15" i="3"/>
  <c r="D19" i="4" s="1"/>
  <c r="D7" i="3"/>
  <c r="D29" i="6"/>
  <c r="D21" i="6"/>
  <c r="D23" i="6"/>
  <c r="D24" i="6"/>
  <c r="D28" i="6"/>
  <c r="D30" i="6"/>
  <c r="D31" i="6" s="1"/>
  <c r="F18" i="6"/>
  <c r="E20" i="6"/>
  <c r="G13" i="13"/>
  <c r="G11" i="13"/>
  <c r="B14" i="16" l="1"/>
  <c r="C14" i="16" s="1"/>
  <c r="B16" i="1"/>
  <c r="B9" i="13"/>
  <c r="B12" i="13" s="1"/>
  <c r="C8" i="13" s="1"/>
  <c r="B34" i="5"/>
  <c r="B33" i="5"/>
  <c r="B26" i="5"/>
  <c r="B27" i="5" s="1"/>
  <c r="B32" i="5" s="1"/>
  <c r="F8" i="3"/>
  <c r="E19" i="5"/>
  <c r="E15" i="3"/>
  <c r="E19" i="4" s="1"/>
  <c r="E7" i="3"/>
  <c r="C21" i="5"/>
  <c r="C28" i="5"/>
  <c r="C24" i="5"/>
  <c r="C23" i="5"/>
  <c r="C25" i="5" s="1"/>
  <c r="C30" i="5"/>
  <c r="C31" i="5" s="1"/>
  <c r="C29" i="5"/>
  <c r="I9" i="3"/>
  <c r="D39" i="10"/>
  <c r="D13" i="10"/>
  <c r="C18" i="4"/>
  <c r="C16" i="3"/>
  <c r="D14" i="3"/>
  <c r="D18" i="5"/>
  <c r="D20" i="5" s="1"/>
  <c r="B12" i="10"/>
  <c r="B38" i="10"/>
  <c r="B40" i="10" s="1"/>
  <c r="B20" i="4"/>
  <c r="H13" i="13"/>
  <c r="H11" i="13"/>
  <c r="D25" i="6"/>
  <c r="E30" i="6"/>
  <c r="E31" i="6" s="1"/>
  <c r="E28" i="6"/>
  <c r="E24" i="6"/>
  <c r="E21" i="6"/>
  <c r="E29" i="6"/>
  <c r="E23" i="6"/>
  <c r="E25" i="6" s="1"/>
  <c r="C9" i="13"/>
  <c r="C39" i="6"/>
  <c r="G18" i="6"/>
  <c r="F20" i="6"/>
  <c r="C12" i="13" l="1"/>
  <c r="D8" i="13"/>
  <c r="B10" i="16"/>
  <c r="C10" i="16" s="1"/>
  <c r="C16" i="1"/>
  <c r="B39" i="5"/>
  <c r="E34" i="6"/>
  <c r="E26" i="6"/>
  <c r="E33" i="6"/>
  <c r="E27" i="6"/>
  <c r="E32" i="6" s="1"/>
  <c r="J9" i="3"/>
  <c r="C34" i="5"/>
  <c r="C33" i="5"/>
  <c r="C26" i="5"/>
  <c r="C27" i="5" s="1"/>
  <c r="C32" i="5" s="1"/>
  <c r="C39" i="5" s="1"/>
  <c r="F29" i="6"/>
  <c r="F23" i="6"/>
  <c r="F30" i="6"/>
  <c r="F31" i="6" s="1"/>
  <c r="F28" i="6"/>
  <c r="F24" i="6"/>
  <c r="F21" i="6"/>
  <c r="B17" i="1"/>
  <c r="C20" i="4"/>
  <c r="C38" i="10"/>
  <c r="C40" i="10" s="1"/>
  <c r="E13" i="10"/>
  <c r="E39" i="10"/>
  <c r="D15" i="1"/>
  <c r="B21" i="4"/>
  <c r="B28" i="4"/>
  <c r="B24" i="4"/>
  <c r="B30" i="4"/>
  <c r="B31" i="4" s="1"/>
  <c r="B29" i="4"/>
  <c r="B68" i="10" s="1"/>
  <c r="B23" i="4"/>
  <c r="B25" i="4" s="1"/>
  <c r="B45" i="10"/>
  <c r="B46" i="10"/>
  <c r="B47" i="10" s="1"/>
  <c r="B44" i="10"/>
  <c r="B42" i="10"/>
  <c r="B43" i="10" s="1"/>
  <c r="B48" i="10" s="1"/>
  <c r="B49" i="10" s="1"/>
  <c r="G8" i="3"/>
  <c r="F19" i="5"/>
  <c r="F15" i="3"/>
  <c r="F19" i="4" s="1"/>
  <c r="F7" i="3"/>
  <c r="D33" i="6"/>
  <c r="D34" i="6"/>
  <c r="D26" i="6"/>
  <c r="D27" i="6" s="1"/>
  <c r="D32" i="6" s="1"/>
  <c r="I13" i="13"/>
  <c r="I11" i="13"/>
  <c r="C12" i="10"/>
  <c r="B14" i="10"/>
  <c r="H18" i="6"/>
  <c r="G20" i="6"/>
  <c r="E14" i="3"/>
  <c r="E18" i="5"/>
  <c r="E20" i="5" s="1"/>
  <c r="D28" i="5"/>
  <c r="D30" i="5"/>
  <c r="D31" i="5" s="1"/>
  <c r="D29" i="5"/>
  <c r="D24" i="5"/>
  <c r="D23" i="5"/>
  <c r="D25" i="5" s="1"/>
  <c r="D21" i="5"/>
  <c r="D18" i="4"/>
  <c r="D16" i="3"/>
  <c r="D39" i="6" l="1"/>
  <c r="D9" i="13"/>
  <c r="D12" i="13" s="1"/>
  <c r="B19" i="10"/>
  <c r="B20" i="10"/>
  <c r="B21" i="10" s="1"/>
  <c r="B18" i="10"/>
  <c r="B16" i="10"/>
  <c r="B17" i="10" s="1"/>
  <c r="B22" i="10" s="1"/>
  <c r="B23" i="10" s="1"/>
  <c r="D38" i="10"/>
  <c r="D40" i="10" s="1"/>
  <c r="D20" i="4"/>
  <c r="E23" i="5"/>
  <c r="E29" i="5"/>
  <c r="E24" i="5"/>
  <c r="E30" i="5"/>
  <c r="E31" i="5" s="1"/>
  <c r="E28" i="5"/>
  <c r="E21" i="5"/>
  <c r="H20" i="6"/>
  <c r="I18" i="6"/>
  <c r="D12" i="10"/>
  <c r="C14" i="10"/>
  <c r="C29" i="4"/>
  <c r="C23" i="4"/>
  <c r="C25" i="4" s="1"/>
  <c r="C30" i="4"/>
  <c r="C31" i="4" s="1"/>
  <c r="C28" i="4"/>
  <c r="C24" i="4"/>
  <c r="C21" i="4"/>
  <c r="D34" i="5"/>
  <c r="D33" i="5"/>
  <c r="D26" i="5"/>
  <c r="D27" i="5" s="1"/>
  <c r="D32" i="5" s="1"/>
  <c r="D39" i="5" s="1"/>
  <c r="F25" i="6"/>
  <c r="E18" i="4"/>
  <c r="E16" i="3"/>
  <c r="G29" i="6"/>
  <c r="G23" i="6"/>
  <c r="G30" i="6"/>
  <c r="G31" i="6" s="1"/>
  <c r="G28" i="6"/>
  <c r="G24" i="6"/>
  <c r="G21" i="6"/>
  <c r="K9" i="3"/>
  <c r="E39" i="6"/>
  <c r="E9" i="13"/>
  <c r="J13" i="13"/>
  <c r="J11" i="13"/>
  <c r="C45" i="10"/>
  <c r="C46" i="10"/>
  <c r="C47" i="10" s="1"/>
  <c r="C42" i="10"/>
  <c r="C43" i="10" s="1"/>
  <c r="C44" i="10"/>
  <c r="F13" i="10"/>
  <c r="F39" i="10"/>
  <c r="G15" i="3"/>
  <c r="G19" i="4" s="1"/>
  <c r="H8" i="3"/>
  <c r="G19" i="5"/>
  <c r="G7" i="3"/>
  <c r="B33" i="4"/>
  <c r="B34" i="4"/>
  <c r="B26" i="4"/>
  <c r="B27" i="4" s="1"/>
  <c r="B32" i="4" s="1"/>
  <c r="F18" i="5"/>
  <c r="F20" i="5" s="1"/>
  <c r="F14" i="3"/>
  <c r="D16" i="1" l="1"/>
  <c r="B6" i="16"/>
  <c r="C6" i="16" s="1"/>
  <c r="B39" i="4"/>
  <c r="E8" i="13"/>
  <c r="E12" i="13" s="1"/>
  <c r="F8" i="13" s="1"/>
  <c r="F16" i="3"/>
  <c r="F18" i="4"/>
  <c r="H19" i="5"/>
  <c r="H15" i="3"/>
  <c r="H19" i="4" s="1"/>
  <c r="I8" i="3"/>
  <c r="H7" i="3"/>
  <c r="F33" i="6"/>
  <c r="F34" i="6"/>
  <c r="F26" i="6"/>
  <c r="F27" i="6" s="1"/>
  <c r="F32" i="6" s="1"/>
  <c r="D30" i="4"/>
  <c r="D31" i="4" s="1"/>
  <c r="D28" i="4"/>
  <c r="D24" i="4"/>
  <c r="D21" i="4"/>
  <c r="D29" i="4"/>
  <c r="D23" i="4"/>
  <c r="D25" i="4" s="1"/>
  <c r="C19" i="10"/>
  <c r="C20" i="10"/>
  <c r="C21" i="10" s="1"/>
  <c r="C18" i="10"/>
  <c r="C16" i="10"/>
  <c r="C17" i="10" s="1"/>
  <c r="G25" i="6"/>
  <c r="E20" i="4"/>
  <c r="E38" i="10"/>
  <c r="E40" i="10" s="1"/>
  <c r="E12" i="10"/>
  <c r="D14" i="10"/>
  <c r="H29" i="6"/>
  <c r="H23" i="6"/>
  <c r="H21" i="6"/>
  <c r="H24" i="6"/>
  <c r="H28" i="6"/>
  <c r="H30" i="6"/>
  <c r="H31" i="6" s="1"/>
  <c r="G13" i="10"/>
  <c r="G39" i="10"/>
  <c r="C48" i="10"/>
  <c r="C49" i="10" s="1"/>
  <c r="D45" i="10"/>
  <c r="D46" i="10"/>
  <c r="D47" i="10" s="1"/>
  <c r="D44" i="10"/>
  <c r="D42" i="10"/>
  <c r="D43" i="10" s="1"/>
  <c r="C17" i="1"/>
  <c r="F24" i="5"/>
  <c r="F30" i="5"/>
  <c r="F31" i="5" s="1"/>
  <c r="F23" i="5"/>
  <c r="F25" i="5" s="1"/>
  <c r="F29" i="5"/>
  <c r="F28" i="5"/>
  <c r="F21" i="5"/>
  <c r="K13" i="13"/>
  <c r="K11" i="13"/>
  <c r="C33" i="4"/>
  <c r="C34" i="4"/>
  <c r="C26" i="4"/>
  <c r="C27" i="4" s="1"/>
  <c r="C32" i="4" s="1"/>
  <c r="I20" i="6"/>
  <c r="J18" i="6"/>
  <c r="G14" i="3"/>
  <c r="G18" i="5"/>
  <c r="G20" i="5" s="1"/>
  <c r="E25" i="5"/>
  <c r="H25" i="6" l="1"/>
  <c r="C22" i="10"/>
  <c r="C23" i="10" s="1"/>
  <c r="D48" i="10"/>
  <c r="D49" i="10" s="1"/>
  <c r="C39" i="4"/>
  <c r="F9" i="13"/>
  <c r="F12" i="13" s="1"/>
  <c r="F39" i="6"/>
  <c r="E46" i="10"/>
  <c r="E47" i="10" s="1"/>
  <c r="E42" i="10"/>
  <c r="E43" i="10" s="1"/>
  <c r="E45" i="10"/>
  <c r="E44" i="10"/>
  <c r="F26" i="5"/>
  <c r="F27" i="5"/>
  <c r="F32" i="5" s="1"/>
  <c r="F39" i="5" s="1"/>
  <c r="F33" i="5"/>
  <c r="F34" i="5"/>
  <c r="E34" i="5"/>
  <c r="E26" i="5"/>
  <c r="E27" i="5" s="1"/>
  <c r="E32" i="5" s="1"/>
  <c r="E39" i="5" s="1"/>
  <c r="E33" i="5"/>
  <c r="G16" i="3"/>
  <c r="G18" i="4"/>
  <c r="I29" i="6"/>
  <c r="I23" i="6"/>
  <c r="I28" i="6"/>
  <c r="I24" i="6"/>
  <c r="I30" i="6"/>
  <c r="I31" i="6" s="1"/>
  <c r="I21" i="6"/>
  <c r="E30" i="4"/>
  <c r="E31" i="4" s="1"/>
  <c r="E28" i="4"/>
  <c r="E24" i="4"/>
  <c r="E21" i="4"/>
  <c r="E29" i="4"/>
  <c r="E23" i="4"/>
  <c r="E25" i="4" s="1"/>
  <c r="F20" i="4"/>
  <c r="F38" i="10"/>
  <c r="F40" i="10" s="1"/>
  <c r="G33" i="6"/>
  <c r="G34" i="6"/>
  <c r="G26" i="6"/>
  <c r="G27" i="6" s="1"/>
  <c r="G32" i="6" s="1"/>
  <c r="J20" i="6"/>
  <c r="K18" i="6"/>
  <c r="K20" i="6" s="1"/>
  <c r="H14" i="3"/>
  <c r="H18" i="5"/>
  <c r="H20" i="5" s="1"/>
  <c r="D34" i="4"/>
  <c r="D26" i="4"/>
  <c r="D33" i="4"/>
  <c r="D27" i="4"/>
  <c r="D32" i="4" s="1"/>
  <c r="D39" i="4" s="1"/>
  <c r="G23" i="5"/>
  <c r="G24" i="5"/>
  <c r="G30" i="5"/>
  <c r="G31" i="5" s="1"/>
  <c r="G29" i="5"/>
  <c r="G21" i="5"/>
  <c r="G28" i="5"/>
  <c r="H33" i="6"/>
  <c r="H34" i="6"/>
  <c r="H26" i="6"/>
  <c r="H27" i="6" s="1"/>
  <c r="H32" i="6" s="1"/>
  <c r="D20" i="10"/>
  <c r="D21" i="10" s="1"/>
  <c r="D18" i="10"/>
  <c r="D16" i="10"/>
  <c r="D17" i="10" s="1"/>
  <c r="D19" i="10"/>
  <c r="I15" i="3"/>
  <c r="I19" i="4" s="1"/>
  <c r="I19" i="5"/>
  <c r="J8" i="3"/>
  <c r="I7" i="3"/>
  <c r="F12" i="10"/>
  <c r="E14" i="10"/>
  <c r="H39" i="10"/>
  <c r="H13" i="10"/>
  <c r="H9" i="13" l="1"/>
  <c r="H39" i="6"/>
  <c r="G9" i="13"/>
  <c r="G39" i="6"/>
  <c r="G8" i="13"/>
  <c r="H30" i="5"/>
  <c r="H31" i="5" s="1"/>
  <c r="H28" i="5"/>
  <c r="H24" i="5"/>
  <c r="H21" i="5"/>
  <c r="H29" i="5"/>
  <c r="H23" i="5"/>
  <c r="H25" i="5" s="1"/>
  <c r="E20" i="10"/>
  <c r="E21" i="10" s="1"/>
  <c r="E18" i="10"/>
  <c r="E16" i="10"/>
  <c r="E17" i="10" s="1"/>
  <c r="E19" i="10"/>
  <c r="J19" i="5"/>
  <c r="K8" i="3"/>
  <c r="J15" i="3"/>
  <c r="J19" i="4" s="1"/>
  <c r="J7" i="3"/>
  <c r="I39" i="10"/>
  <c r="I13" i="10"/>
  <c r="J28" i="6"/>
  <c r="J30" i="6"/>
  <c r="J31" i="6" s="1"/>
  <c r="J24" i="6"/>
  <c r="J23" i="6"/>
  <c r="J25" i="6" s="1"/>
  <c r="J29" i="6"/>
  <c r="J21" i="6"/>
  <c r="G20" i="4"/>
  <c r="G38" i="10"/>
  <c r="G40" i="10" s="1"/>
  <c r="G12" i="10"/>
  <c r="F14" i="10"/>
  <c r="B43" i="6"/>
  <c r="K30" i="6"/>
  <c r="K28" i="6"/>
  <c r="K24" i="6"/>
  <c r="K23" i="6"/>
  <c r="K25" i="6" s="1"/>
  <c r="K21" i="6"/>
  <c r="K29" i="6"/>
  <c r="E34" i="4"/>
  <c r="E26" i="4"/>
  <c r="E27" i="4" s="1"/>
  <c r="E32" i="4" s="1"/>
  <c r="E33" i="4"/>
  <c r="I14" i="3"/>
  <c r="I18" i="5"/>
  <c r="I20" i="5" s="1"/>
  <c r="H16" i="3"/>
  <c r="H18" i="4"/>
  <c r="F30" i="4"/>
  <c r="F31" i="4" s="1"/>
  <c r="F28" i="4"/>
  <c r="F24" i="4"/>
  <c r="F21" i="4"/>
  <c r="D17" i="1"/>
  <c r="F23" i="4"/>
  <c r="F29" i="4"/>
  <c r="G25" i="5"/>
  <c r="E48" i="10"/>
  <c r="E49" i="10" s="1"/>
  <c r="I25" i="6"/>
  <c r="D22" i="10"/>
  <c r="D23" i="10" s="1"/>
  <c r="F45" i="10"/>
  <c r="F42" i="10"/>
  <c r="F43" i="10" s="1"/>
  <c r="F46" i="10"/>
  <c r="F47" i="10" s="1"/>
  <c r="F44" i="10"/>
  <c r="F48" i="10" l="1"/>
  <c r="F49" i="10" s="1"/>
  <c r="E22" i="10"/>
  <c r="E23" i="10" s="1"/>
  <c r="H34" i="5"/>
  <c r="H26" i="5"/>
  <c r="H33" i="5"/>
  <c r="H27" i="5"/>
  <c r="H32" i="5" s="1"/>
  <c r="H39" i="5" s="1"/>
  <c r="G42" i="10"/>
  <c r="G43" i="10" s="1"/>
  <c r="G46" i="10"/>
  <c r="G47" i="10" s="1"/>
  <c r="G44" i="10"/>
  <c r="G45" i="10"/>
  <c r="J34" i="6"/>
  <c r="J26" i="6"/>
  <c r="J27" i="6" s="1"/>
  <c r="J32" i="6" s="1"/>
  <c r="J33" i="6"/>
  <c r="H38" i="10"/>
  <c r="H40" i="10" s="1"/>
  <c r="H20" i="4"/>
  <c r="K26" i="6"/>
  <c r="K27" i="6" s="1"/>
  <c r="K32" i="6" s="1"/>
  <c r="K34" i="6"/>
  <c r="D49" i="6" s="1"/>
  <c r="D50" i="6" s="1"/>
  <c r="K33" i="6"/>
  <c r="I33" i="6"/>
  <c r="I34" i="6"/>
  <c r="I26" i="6"/>
  <c r="I27" i="6" s="1"/>
  <c r="I32" i="6" s="1"/>
  <c r="K31" i="6"/>
  <c r="B47" i="6"/>
  <c r="B46" i="6"/>
  <c r="B45" i="6"/>
  <c r="B44" i="6"/>
  <c r="J14" i="3"/>
  <c r="J18" i="5"/>
  <c r="J20" i="5" s="1"/>
  <c r="G12" i="13"/>
  <c r="J39" i="10"/>
  <c r="J13" i="10"/>
  <c r="E39" i="4"/>
  <c r="G28" i="4"/>
  <c r="G30" i="4"/>
  <c r="G31" i="4" s="1"/>
  <c r="G24" i="4"/>
  <c r="G23" i="4"/>
  <c r="G25" i="4" s="1"/>
  <c r="G29" i="4"/>
  <c r="G21" i="4"/>
  <c r="G26" i="5"/>
  <c r="G27" i="5"/>
  <c r="G32" i="5" s="1"/>
  <c r="G39" i="5" s="1"/>
  <c r="G33" i="5"/>
  <c r="G34" i="5"/>
  <c r="K19" i="5"/>
  <c r="K15" i="3"/>
  <c r="K19" i="4" s="1"/>
  <c r="K7" i="3"/>
  <c r="G14" i="10"/>
  <c r="H12" i="10"/>
  <c r="F25" i="4"/>
  <c r="I16" i="3"/>
  <c r="I18" i="4"/>
  <c r="I29" i="5"/>
  <c r="I23" i="5"/>
  <c r="I30" i="5"/>
  <c r="I31" i="5" s="1"/>
  <c r="I28" i="5"/>
  <c r="I24" i="5"/>
  <c r="I21" i="5"/>
  <c r="F20" i="10"/>
  <c r="F21" i="10" s="1"/>
  <c r="F18" i="10"/>
  <c r="F16" i="10"/>
  <c r="F17" i="10" s="1"/>
  <c r="F19" i="10"/>
  <c r="B69" i="10" s="1"/>
  <c r="K9" i="13" l="1"/>
  <c r="K39" i="6"/>
  <c r="I9" i="13"/>
  <c r="I39" i="6"/>
  <c r="J9" i="13"/>
  <c r="J39" i="6"/>
  <c r="F34" i="4"/>
  <c r="F26" i="4"/>
  <c r="F27" i="4"/>
  <c r="F32" i="4" s="1"/>
  <c r="F33" i="4"/>
  <c r="G48" i="10"/>
  <c r="G49" i="10" s="1"/>
  <c r="K13" i="10"/>
  <c r="K39" i="10"/>
  <c r="H8" i="13"/>
  <c r="H12" i="13" s="1"/>
  <c r="I8" i="13" s="1"/>
  <c r="I12" i="13" s="1"/>
  <c r="J8" i="13" s="1"/>
  <c r="J12" i="13" s="1"/>
  <c r="K8" i="13" s="1"/>
  <c r="K12" i="13" s="1"/>
  <c r="H24" i="4"/>
  <c r="H30" i="4"/>
  <c r="H31" i="4" s="1"/>
  <c r="H23" i="4"/>
  <c r="H25" i="4" s="1"/>
  <c r="H29" i="4"/>
  <c r="H28" i="4"/>
  <c r="H21" i="4"/>
  <c r="J29" i="5"/>
  <c r="J23" i="5"/>
  <c r="J30" i="5"/>
  <c r="J31" i="5" s="1"/>
  <c r="J28" i="5"/>
  <c r="J24" i="5"/>
  <c r="J21" i="5"/>
  <c r="H45" i="10"/>
  <c r="H46" i="10"/>
  <c r="H47" i="10" s="1"/>
  <c r="H44" i="10"/>
  <c r="H42" i="10"/>
  <c r="H43" i="10" s="1"/>
  <c r="H48" i="10" s="1"/>
  <c r="H49" i="10" s="1"/>
  <c r="I38" i="10"/>
  <c r="I40" i="10" s="1"/>
  <c r="I20" i="4"/>
  <c r="H14" i="10"/>
  <c r="I12" i="10"/>
  <c r="K18" i="5"/>
  <c r="K20" i="5" s="1"/>
  <c r="K14" i="3"/>
  <c r="I25" i="5"/>
  <c r="J16" i="3"/>
  <c r="J18" i="4"/>
  <c r="B48" i="6"/>
  <c r="B49" i="6" s="1"/>
  <c r="G34" i="4"/>
  <c r="G26" i="4"/>
  <c r="G27" i="4"/>
  <c r="G32" i="4" s="1"/>
  <c r="G39" i="4" s="1"/>
  <c r="G33" i="4"/>
  <c r="F22" i="10"/>
  <c r="F23" i="10" s="1"/>
  <c r="G20" i="10"/>
  <c r="G21" i="10" s="1"/>
  <c r="G18" i="10"/>
  <c r="G16" i="10"/>
  <c r="G17" i="10" s="1"/>
  <c r="G19" i="10"/>
  <c r="K16" i="3" l="1"/>
  <c r="K18" i="4"/>
  <c r="I14" i="10"/>
  <c r="J12" i="10"/>
  <c r="I23" i="4"/>
  <c r="I24" i="4"/>
  <c r="I30" i="4"/>
  <c r="I31" i="4" s="1"/>
  <c r="I29" i="4"/>
  <c r="I28" i="4"/>
  <c r="I21" i="4"/>
  <c r="G22" i="10"/>
  <c r="G23" i="10" s="1"/>
  <c r="B23" i="16"/>
  <c r="C23" i="16" s="1"/>
  <c r="H34" i="4"/>
  <c r="H26" i="4"/>
  <c r="H27" i="4" s="1"/>
  <c r="H32" i="4" s="1"/>
  <c r="H33" i="4"/>
  <c r="K29" i="5"/>
  <c r="K23" i="5"/>
  <c r="K24" i="5"/>
  <c r="K30" i="5"/>
  <c r="K31" i="5" s="1"/>
  <c r="B43" i="5"/>
  <c r="K21" i="5"/>
  <c r="K28" i="5"/>
  <c r="H19" i="10"/>
  <c r="H20" i="10"/>
  <c r="H21" i="10" s="1"/>
  <c r="H18" i="10"/>
  <c r="H16" i="10"/>
  <c r="H17" i="10" s="1"/>
  <c r="H22" i="10" s="1"/>
  <c r="H23" i="10" s="1"/>
  <c r="F39" i="4"/>
  <c r="J25" i="5"/>
  <c r="B54" i="6"/>
  <c r="B50" i="6"/>
  <c r="J38" i="10"/>
  <c r="J40" i="10" s="1"/>
  <c r="J20" i="4"/>
  <c r="B51" i="6"/>
  <c r="D51" i="6" s="1"/>
  <c r="D52" i="6" s="1"/>
  <c r="I33" i="5"/>
  <c r="I34" i="5"/>
  <c r="I26" i="5"/>
  <c r="I27" i="5" s="1"/>
  <c r="I32" i="5" s="1"/>
  <c r="I39" i="5" s="1"/>
  <c r="I46" i="10"/>
  <c r="I47" i="10" s="1"/>
  <c r="I44" i="10"/>
  <c r="I42" i="10"/>
  <c r="I43" i="10" s="1"/>
  <c r="I45" i="10"/>
  <c r="H39" i="4" l="1"/>
  <c r="I25" i="4"/>
  <c r="J33" i="5"/>
  <c r="J34" i="5"/>
  <c r="J26" i="5"/>
  <c r="J27" i="5" s="1"/>
  <c r="J32" i="5" s="1"/>
  <c r="J39" i="5" s="1"/>
  <c r="I73" i="6"/>
  <c r="I72" i="6"/>
  <c r="I75" i="6"/>
  <c r="I74" i="6"/>
  <c r="D58" i="6"/>
  <c r="D62" i="6" s="1"/>
  <c r="I71" i="6"/>
  <c r="D66" i="6" s="1"/>
  <c r="D53" i="6"/>
  <c r="K12" i="10"/>
  <c r="K14" i="10" s="1"/>
  <c r="J14" i="10"/>
  <c r="J29" i="4"/>
  <c r="J24" i="4"/>
  <c r="J30" i="4"/>
  <c r="J31" i="4" s="1"/>
  <c r="J23" i="4"/>
  <c r="J25" i="4" s="1"/>
  <c r="J28" i="4"/>
  <c r="J21" i="4"/>
  <c r="I20" i="10"/>
  <c r="I21" i="10" s="1"/>
  <c r="I19" i="10"/>
  <c r="I18" i="10"/>
  <c r="I16" i="10"/>
  <c r="I17" i="10" s="1"/>
  <c r="I22" i="10" s="1"/>
  <c r="I23" i="10" s="1"/>
  <c r="J45" i="10"/>
  <c r="J46" i="10"/>
  <c r="J47" i="10" s="1"/>
  <c r="J44" i="10"/>
  <c r="J42" i="10"/>
  <c r="J43" i="10" s="1"/>
  <c r="J48" i="10" s="1"/>
  <c r="J49" i="10" s="1"/>
  <c r="K38" i="10"/>
  <c r="K40" i="10" s="1"/>
  <c r="K20" i="4"/>
  <c r="K25" i="5"/>
  <c r="I48" i="10"/>
  <c r="I49" i="10" s="1"/>
  <c r="B52" i="6"/>
  <c r="B47" i="5"/>
  <c r="B46" i="5"/>
  <c r="B45" i="5"/>
  <c r="B44" i="5"/>
  <c r="B48" i="5" s="1"/>
  <c r="B49" i="5" s="1"/>
  <c r="G75" i="6" l="1"/>
  <c r="G73" i="6"/>
  <c r="B58" i="6"/>
  <c r="B62" i="6" s="1"/>
  <c r="G74" i="6"/>
  <c r="G72" i="6"/>
  <c r="G71" i="6"/>
  <c r="B66" i="6" s="1"/>
  <c r="B53" i="6"/>
  <c r="B19" i="1" s="1"/>
  <c r="I26" i="4"/>
  <c r="I27" i="4"/>
  <c r="I32" i="4" s="1"/>
  <c r="I33" i="4"/>
  <c r="I34" i="4"/>
  <c r="J33" i="4"/>
  <c r="J26" i="4"/>
  <c r="J27" i="4" s="1"/>
  <c r="J32" i="4" s="1"/>
  <c r="J39" i="4" s="1"/>
  <c r="J34" i="4"/>
  <c r="J18" i="10"/>
  <c r="J20" i="10"/>
  <c r="J21" i="10" s="1"/>
  <c r="J19" i="10"/>
  <c r="J16" i="10"/>
  <c r="J17" i="10" s="1"/>
  <c r="J22" i="10" s="1"/>
  <c r="J23" i="10" s="1"/>
  <c r="K20" i="10"/>
  <c r="K21" i="10" s="1"/>
  <c r="K18" i="10"/>
  <c r="K16" i="10"/>
  <c r="K17" i="10" s="1"/>
  <c r="K19" i="10"/>
  <c r="B13" i="1"/>
  <c r="D64" i="6"/>
  <c r="D65" i="6" s="1"/>
  <c r="B16" i="16" s="1"/>
  <c r="C16" i="16" s="1"/>
  <c r="D67" i="6"/>
  <c r="B14" i="1" s="1"/>
  <c r="K46" i="10"/>
  <c r="K47" i="10" s="1"/>
  <c r="K44" i="10"/>
  <c r="K42" i="10"/>
  <c r="K43" i="10" s="1"/>
  <c r="K45" i="10"/>
  <c r="B50" i="5"/>
  <c r="K33" i="5"/>
  <c r="K26" i="5"/>
  <c r="K27" i="5" s="1"/>
  <c r="K32" i="5" s="1"/>
  <c r="K39" i="5" s="1"/>
  <c r="B51" i="5" s="1"/>
  <c r="D51" i="5" s="1"/>
  <c r="K34" i="5"/>
  <c r="D49" i="5" s="1"/>
  <c r="D50" i="5" s="1"/>
  <c r="K23" i="4"/>
  <c r="K30" i="4"/>
  <c r="K31" i="4" s="1"/>
  <c r="B43" i="4"/>
  <c r="K24" i="4"/>
  <c r="K29" i="4"/>
  <c r="K28" i="4"/>
  <c r="K21" i="4"/>
  <c r="K25" i="4" l="1"/>
  <c r="K26" i="4" s="1"/>
  <c r="K27" i="4" s="1"/>
  <c r="K32" i="4" s="1"/>
  <c r="K33" i="4"/>
  <c r="K34" i="4"/>
  <c r="D49" i="4" s="1"/>
  <c r="D50" i="4" s="1"/>
  <c r="B52" i="5"/>
  <c r="B53" i="5" s="1"/>
  <c r="C19" i="1" s="1"/>
  <c r="I39" i="4"/>
  <c r="B26" i="10"/>
  <c r="B27" i="10" s="1"/>
  <c r="B15" i="16"/>
  <c r="C15" i="16" s="1"/>
  <c r="B54" i="5"/>
  <c r="D52" i="5"/>
  <c r="K48" i="10"/>
  <c r="K49" i="10" s="1"/>
  <c r="B52" i="10" s="1"/>
  <c r="B53" i="10" s="1"/>
  <c r="B67" i="6"/>
  <c r="B12" i="1" s="1"/>
  <c r="B64" i="6"/>
  <c r="B65" i="6" s="1"/>
  <c r="B11" i="1"/>
  <c r="K22" i="10"/>
  <c r="K23" i="10" s="1"/>
  <c r="B44" i="4"/>
  <c r="B46" i="4"/>
  <c r="B45" i="4"/>
  <c r="B47" i="4"/>
  <c r="K39" i="4" l="1"/>
  <c r="B20" i="9"/>
  <c r="E9" i="9"/>
  <c r="B19" i="9"/>
  <c r="D9" i="9"/>
  <c r="F23" i="9"/>
  <c r="E21" i="9"/>
  <c r="F21" i="9"/>
  <c r="F11" i="9"/>
  <c r="E11" i="9"/>
  <c r="C9" i="9"/>
  <c r="D23" i="9"/>
  <c r="F8" i="9"/>
  <c r="B23" i="9"/>
  <c r="C10" i="9"/>
  <c r="E22" i="9"/>
  <c r="F10" i="9"/>
  <c r="E10" i="9"/>
  <c r="B22" i="9"/>
  <c r="B8" i="9"/>
  <c r="C8" i="9"/>
  <c r="C23" i="9"/>
  <c r="C20" i="9"/>
  <c r="F12" i="9"/>
  <c r="E20" i="9"/>
  <c r="C22" i="9"/>
  <c r="B9" i="9"/>
  <c r="E8" i="9"/>
  <c r="C19" i="9"/>
  <c r="D11" i="9"/>
  <c r="D8" i="9"/>
  <c r="D10" i="9"/>
  <c r="C11" i="9"/>
  <c r="D22" i="9"/>
  <c r="F20" i="9"/>
  <c r="F22" i="9"/>
  <c r="E12" i="9"/>
  <c r="B10" i="9"/>
  <c r="B12" i="9"/>
  <c r="F19" i="9"/>
  <c r="E19" i="9"/>
  <c r="C12" i="9"/>
  <c r="B11" i="9"/>
  <c r="D12" i="9"/>
  <c r="D20" i="9"/>
  <c r="C21" i="9"/>
  <c r="F9" i="9"/>
  <c r="B21" i="9"/>
  <c r="D21" i="9"/>
  <c r="D19" i="9"/>
  <c r="B20" i="16"/>
  <c r="C20" i="16" s="1"/>
  <c r="B28" i="10"/>
  <c r="B48" i="4"/>
  <c r="B49" i="4" s="1"/>
  <c r="G74" i="5"/>
  <c r="G71" i="5"/>
  <c r="B58" i="5"/>
  <c r="B62" i="5" s="1"/>
  <c r="G72" i="5"/>
  <c r="G75" i="5"/>
  <c r="G73" i="5"/>
  <c r="B51" i="4"/>
  <c r="D51" i="4" s="1"/>
  <c r="D52" i="4" s="1"/>
  <c r="B21" i="16"/>
  <c r="C21" i="16" s="1"/>
  <c r="B54" i="10"/>
  <c r="I73" i="5"/>
  <c r="D58" i="5"/>
  <c r="D62" i="5" s="1"/>
  <c r="I71" i="5"/>
  <c r="I74" i="5"/>
  <c r="I75" i="5"/>
  <c r="I72" i="5"/>
  <c r="D53" i="5"/>
  <c r="E23" i="9"/>
  <c r="D66" i="5" l="1"/>
  <c r="D67" i="5" s="1"/>
  <c r="C14" i="1" s="1"/>
  <c r="I75" i="4"/>
  <c r="I74" i="4"/>
  <c r="I72" i="4"/>
  <c r="I71" i="4"/>
  <c r="D58" i="4"/>
  <c r="D62" i="4" s="1"/>
  <c r="I73" i="4"/>
  <c r="D53" i="4"/>
  <c r="B66" i="5"/>
  <c r="B50" i="4"/>
  <c r="B54" i="4"/>
  <c r="C13" i="1" l="1"/>
  <c r="D64" i="5"/>
  <c r="D65" i="5" s="1"/>
  <c r="B12" i="16" s="1"/>
  <c r="C12" i="16" s="1"/>
  <c r="B64" i="5"/>
  <c r="B65" i="5" s="1"/>
  <c r="B11" i="16" s="1"/>
  <c r="C11" i="16" s="1"/>
  <c r="C11" i="1"/>
  <c r="B67" i="5"/>
  <c r="C12" i="1" s="1"/>
  <c r="B52" i="4"/>
  <c r="D66" i="4"/>
  <c r="D67" i="4" l="1"/>
  <c r="D14" i="1" s="1"/>
  <c r="D64" i="4"/>
  <c r="D65" i="4" s="1"/>
  <c r="B8" i="16" s="1"/>
  <c r="C8" i="16" s="1"/>
  <c r="D13" i="1"/>
  <c r="B19" i="16"/>
  <c r="C19" i="16" s="1"/>
  <c r="G72" i="4"/>
  <c r="G75" i="4"/>
  <c r="G74" i="4"/>
  <c r="G71" i="4"/>
  <c r="B58" i="4"/>
  <c r="B62" i="4" s="1"/>
  <c r="G73" i="4"/>
  <c r="B53" i="4"/>
  <c r="D19" i="1" s="1"/>
  <c r="B66" i="4" l="1"/>
  <c r="D11" i="1"/>
  <c r="B67" i="4"/>
  <c r="D12" i="1" s="1"/>
  <c r="B64" i="4"/>
  <c r="B65" i="4" s="1"/>
  <c r="B7" i="16" s="1"/>
  <c r="C7" i="16" s="1"/>
  <c r="B18" i="16"/>
  <c r="C18" i="16" s="1"/>
</calcChain>
</file>

<file path=xl/sharedStrings.xml><?xml version="1.0" encoding="utf-8"?>
<sst xmlns="http://schemas.openxmlformats.org/spreadsheetml/2006/main" count="669" uniqueCount="448">
  <si>
    <t>LITE | SUMMARY</t>
  </si>
  <si>
    <t>USD millions / shares millions except prices. Blue = inputs; black = formulas. Thesis horizon: 3–6 months.</t>
  </si>
  <si>
    <t>LITE | ASSUMPTIONS</t>
  </si>
  <si>
    <t>LITE | SEGMENTS</t>
  </si>
  <si>
    <t>LITE | BULL</t>
  </si>
  <si>
    <t>LITE | BASE</t>
  </si>
  <si>
    <t>LITE | BEAR</t>
  </si>
  <si>
    <t>LITE | WACC</t>
  </si>
  <si>
    <t>LITE | CAPITAL</t>
  </si>
  <si>
    <t>LITE | SENSITIVITY</t>
  </si>
  <si>
    <t>LITE | REVERSE DCF</t>
  </si>
  <si>
    <t>LITE | FEAR UNWIND</t>
  </si>
  <si>
    <t>LITE | COMPS</t>
  </si>
  <si>
    <t>LITE | BEAR LIQUIDITY</t>
  </si>
  <si>
    <t>LITE | SOURCES</t>
  </si>
  <si>
    <t>LITE | AI AND Q&amp;A</t>
  </si>
  <si>
    <t>LITE | CHECKS</t>
  </si>
  <si>
    <t>REPORTED JUNE 27 CAPITAL | ONE CONSISTENT SNAPSHOT [S2]</t>
  </si>
  <si>
    <t>Cash</t>
  </si>
  <si>
    <t>Short-term investments</t>
  </si>
  <si>
    <t>Nonconvertible term debt</t>
  </si>
  <si>
    <t>Common shares</t>
  </si>
  <si>
    <t>Preferred, one-for-one common equivalent</t>
  </si>
  <si>
    <t>RSUs outstanding</t>
  </si>
  <si>
    <t>PSUs outstanding, target payout</t>
  </si>
  <si>
    <t>Options outstanding</t>
  </si>
  <si>
    <t>Option exercise price</t>
  </si>
  <si>
    <t>Reference close: Sept 17 [S3]</t>
  </si>
  <si>
    <t>Minority interest claim</t>
  </si>
  <si>
    <t>Separate preferred senior claim</t>
  </si>
  <si>
    <t>Operating NWC, reported inputs</t>
  </si>
  <si>
    <t>Option dilution: treasury method</t>
  </si>
  <si>
    <t>Core diluted shares before notes</t>
  </si>
  <si>
    <t>CONVERTIBLES | CASH PRINCIPAL + PREMIUM SHARES AT FAIR VALUE</t>
  </si>
  <si>
    <t>Maturity</t>
  </si>
  <si>
    <t>Principal</t>
  </si>
  <si>
    <t>Conversion price</t>
  </si>
  <si>
    <t>Underlying shares</t>
  </si>
  <si>
    <t>Full economic as-converted shares</t>
  </si>
  <si>
    <t>Cash less nonconvertible debt</t>
  </si>
  <si>
    <t>Total debt principal</t>
  </si>
  <si>
    <t>Preferred has no senior liquidation/redemption claim; include its common-equivalent shares instead of deducting $2bn. Options use the treasury method at the dated reference price. RSUs/PSUs use full outstanding shares at target vesting; no unrecognized-compensation offset, a conservative simplification. Capped-call value excluded.</t>
  </si>
  <si>
    <t>Cash-settlement bridge subtracts all principal and divides by core shares plus only the conversion premium shares. Out-of-money notes remain debt. June cash/shares/debt are not mixed with August common shares. Post-June transactions and cash generation are not fully rolled forward.</t>
  </si>
  <si>
    <t>NWC = 520.3 AR + 691.6 inventory + 211.6 other current assets − 567.4 AP − 146.3 payroll − 64.9 accrued − 91.5 other current liabilities = 553.4. Leases remain operating costs; no second lease-debt deduction.</t>
  </si>
  <si>
    <t>NORMALIZED OPERATING RISK | NOT CALIBRATED TO A DESIRED SHARE PRICE</t>
  </si>
  <si>
    <t>Peer</t>
  </si>
  <si>
    <t>Beta</t>
  </si>
  <si>
    <t>Equity value</t>
  </si>
  <si>
    <t>Debt</t>
  </si>
  <si>
    <t>D/E</t>
  </si>
  <si>
    <t>Tax proxy</t>
  </si>
  <si>
    <t>Unlevered beta</t>
  </si>
  <si>
    <t>COHR</t>
  </si>
  <si>
    <t>MRVL</t>
  </si>
  <si>
    <t>FN</t>
  </si>
  <si>
    <t>Risk-free rate [S6]</t>
  </si>
  <si>
    <t>ERP observed [S7]</t>
  </si>
  <si>
    <t>ERP selected</t>
  </si>
  <si>
    <t>Operating cash tax</t>
  </si>
  <si>
    <t>Debt credit spread assumption</t>
  </si>
  <si>
    <t>Own observed LITE beta [S15]</t>
  </si>
  <si>
    <t>Terminal g</t>
  </si>
  <si>
    <t>Exit EBITDA multiple</t>
  </si>
  <si>
    <t>Median peer unlevered beta</t>
  </si>
  <si>
    <t>Equity-equivalent market value</t>
  </si>
  <si>
    <t>Debt weight numerator</t>
  </si>
  <si>
    <t>LITE relevered beta</t>
  </si>
  <si>
    <t>Cost of equity</t>
  </si>
  <si>
    <t>Pretax marginal cost of debt</t>
  </si>
  <si>
    <t>Debt weight</t>
  </si>
  <si>
    <t>Equity weight</t>
  </si>
  <si>
    <t>COMPONENT WACC</t>
  </si>
  <si>
    <t>Own-beta WACC cross-check</t>
  </si>
  <si>
    <t>Beta source: public vendor 5-year betas, COHR / MRVL / FN [S8–S10]. Unlever with market D/E and a common 25% peer tax proxy; relever at LITE’s economic capital structure. All scenarios use the same WACC. No country premium or liquidity discount is added.</t>
  </si>
  <si>
    <t>In-money notes are equity equivalents in the primary valuation; therefore WACC financing debt is the $92.8m term debt. Their contractual cash-principal liquidity requirement remains explicit. Borrowing cost is Treasury + assumed 250bp credit spread, not the misleading 0.375–1.5% convertible coupons.</t>
  </si>
  <si>
    <t>Conservatism: selected ERP 4.50% exceeds the observed 4.14%; peer beta exceeds LITE’s own 1.54. A 3% terminal growth rate is below the roughly 4% long-run nominal benchmark (Fed June 2026: 2% real growth + 2% inflation). An independently sourced WACC is not proof the stock trades at fair value.</t>
  </si>
  <si>
    <t>FY2027</t>
  </si>
  <si>
    <t>FY2028</t>
  </si>
  <si>
    <t>FY2029</t>
  </si>
  <si>
    <t>FY2030</t>
  </si>
  <si>
    <t>FY2031</t>
  </si>
  <si>
    <t>FY2032</t>
  </si>
  <si>
    <t>FY2033</t>
  </si>
  <si>
    <t>FY2034</t>
  </si>
  <si>
    <t>FY2035</t>
  </si>
  <si>
    <t>FY2036</t>
  </si>
  <si>
    <t>FORMER END-MARKET BUILD | FY26 ALLOCATION IS AN ESTIMATE</t>
  </si>
  <si>
    <t>Base Cloud / Networking</t>
  </si>
  <si>
    <t>Base Industrial Tech</t>
  </si>
  <si>
    <t>Base total revenue</t>
  </si>
  <si>
    <t>EML revenue uplift vs Base Cloud</t>
  </si>
  <si>
    <t>1.6T revenue uplift vs Base Cloud</t>
  </si>
  <si>
    <t>Incremental OCS revenue vs Base</t>
  </si>
  <si>
    <t>Internal sourcing margin increment</t>
  </si>
  <si>
    <t>Bull Cloud / Networking</t>
  </si>
  <si>
    <t>Bull Industrial Tech</t>
  </si>
  <si>
    <t>Bull total revenue</t>
  </si>
  <si>
    <t>Industrial growth</t>
  </si>
  <si>
    <t>Base total revenue growth</t>
  </si>
  <si>
    <t>FY25 reported Industrial [S5]</t>
  </si>
  <si>
    <t>Estimated FY26 Industrial growth</t>
  </si>
  <si>
    <t>FY26 reported total [S1]</t>
  </si>
  <si>
    <t>FY26 Industrial estimate</t>
  </si>
  <si>
    <t>FY26 Cloud estimate</t>
  </si>
  <si>
    <t>FY25 reported Cloud / Networking and Industrial Tech were $1,410.8m / $234.2m. FY26 switched to one reporting segment with Components / Systems product disclosure ($2,005.6m / $1,008.4m). The former-segment estimates above reconcile to the reported consolidated total; they are not company-disclosed FY26 end markets.</t>
  </si>
  <si>
    <t>Bull excess revenue is attributed only to LITE-specific EML share/content, 1.6T mix and incremental OCS. The percentages are revenue-impact proxies, not asserted actual market shares or disclosed mix percentages. Internal sourcing changes margin only. No internal component sale is counted twice.</t>
  </si>
  <si>
    <t>FY27–31 RAMP + FY32–36 NORMALIZATION | BULL</t>
  </si>
  <si>
    <t>Cloud revenue growth</t>
  </si>
  <si>
    <t>Industrial revenue growth</t>
  </si>
  <si>
    <t>Adjusted operating margin</t>
  </si>
  <si>
    <t>SBC and related payroll / sales</t>
  </si>
  <si>
    <t>Cash tax rate</t>
  </si>
  <si>
    <t>Depreciation / sales</t>
  </si>
  <si>
    <t>Capex / sales</t>
  </si>
  <si>
    <t>Operating NWC / sales</t>
  </si>
  <si>
    <t>Cloud / Networking revenue</t>
  </si>
  <si>
    <t>Industrial Tech revenue</t>
  </si>
  <si>
    <t>Total revenue</t>
  </si>
  <si>
    <t>Revenue growth</t>
  </si>
  <si>
    <t>Adjusted EBIT</t>
  </si>
  <si>
    <t>Less recurring SBC / payroll</t>
  </si>
  <si>
    <t>Economic EBIT</t>
  </si>
  <si>
    <t>Cash operating taxes</t>
  </si>
  <si>
    <t>NOPAT</t>
  </si>
  <si>
    <t>Add D&amp;A: depreciation only</t>
  </si>
  <si>
    <t>Less capex</t>
  </si>
  <si>
    <t>Operating NWC balance</t>
  </si>
  <si>
    <t>Less change in NWC</t>
  </si>
  <si>
    <t>UNLEVERED FREE CASH FLOW</t>
  </si>
  <si>
    <t>Economic EBIT margin</t>
  </si>
  <si>
    <t>Economic EBITDA</t>
  </si>
  <si>
    <t>Remaining-year fraction</t>
  </si>
  <si>
    <t>Discount years</t>
  </si>
  <si>
    <t>Discount factor</t>
  </si>
  <si>
    <t>PV of uFCF</t>
  </si>
  <si>
    <t>TERMINAL VALUE: GORDON GROWTH AND MATURE EXIT EBITDA MULTIPLE</t>
  </si>
  <si>
    <t>Terminal revenue</t>
  </si>
  <si>
    <t>Terminal NOPAT</t>
  </si>
  <si>
    <t>Terminal depreciation</t>
  </si>
  <si>
    <t>Terminal capex</t>
  </si>
  <si>
    <t>Terminal delta NWC</t>
  </si>
  <si>
    <t>Normalized terminal uFCF</t>
  </si>
  <si>
    <t>Undiscounted terminal EV</t>
  </si>
  <si>
    <t>PV terminal value</t>
  </si>
  <si>
    <t>PV explicit forecast</t>
  </si>
  <si>
    <t>ENTERPRISE VALUE</t>
  </si>
  <si>
    <t>TV / EV</t>
  </si>
  <si>
    <t>Gordon implied terminal EBITDA multiple</t>
  </si>
  <si>
    <t>Gordon</t>
  </si>
  <si>
    <t>Exit method</t>
  </si>
  <si>
    <t>EV → EQUITY → PER SHARE | CONTRACTUAL CASH-PRINCIPAL PRESENTATION</t>
  </si>
  <si>
    <t>Enterprise value</t>
  </si>
  <si>
    <t>Add cash and investments</t>
  </si>
  <si>
    <t>Less total debt principal</t>
  </si>
  <si>
    <t>Less minority / preferred senior claims</t>
  </si>
  <si>
    <t>Equity after all principal</t>
  </si>
  <si>
    <t>Core diluted shares</t>
  </si>
  <si>
    <t>Add net conversion premium shares</t>
  </si>
  <si>
    <t>Total net diluted shares</t>
  </si>
  <si>
    <t>VALUE PER SHARE</t>
  </si>
  <si>
    <t>Upside / downside vs reference</t>
  </si>
  <si>
    <t>D&amp;A add-back excludes acquired amortization because adjusted EBIT already removes it. Recurring SBC remains an economic cost. Terminal adjusted margin is 25%, economic EBIT margin 20.5%; peak margins are not perpetual. FY27 cash flow is prorated uniformly to the remaining fiscal year.</t>
  </si>
  <si>
    <t>FY27–31 RAMP + FY32–36 NORMALIZATION | BASE</t>
  </si>
  <si>
    <t>FY27–31 RAMP + FY32–36 NORMALIZATION | BEAR</t>
  </si>
  <si>
    <t>Driver</t>
  </si>
  <si>
    <t>Value / path</t>
  </si>
  <si>
    <t>Logic / limitation</t>
  </si>
  <si>
    <t>Source</t>
  </si>
  <si>
    <t>Horizon</t>
  </si>
  <si>
    <t>3–6 months</t>
  </si>
  <si>
    <t>Next 1–2 earnings reports test execution; DCF duration is separate.</t>
  </si>
  <si>
    <t>Team thesis</t>
  </si>
  <si>
    <t>Forecast length</t>
  </si>
  <si>
    <t>5-year ramp + 5-year fade</t>
  </si>
  <si>
    <t>FY27–31 captures ramp; FY32–36 fades growth to 3% and adjusted margin to 25%.</t>
  </si>
  <si>
    <t>Team model</t>
  </si>
  <si>
    <t>Cloud / Industrial history</t>
  </si>
  <si>
    <t>FY25: 1,410.8 / 234.2</t>
  </si>
  <si>
    <t>FY26 Industrial = FY25 × 1.05 estimate; Cloud is total less Industrial. Not reported FY26 segments.</t>
  </si>
  <si>
    <t>S2 / S5 + estimate</t>
  </si>
  <si>
    <t>Base revenue FY27 / FY28</t>
  </si>
  <si>
    <t>6,320 / 9,610</t>
  </si>
  <si>
    <t>Public vendor consensus; later growth 30%,22%,15%,12%,9%,7%,5%,3%. No later consensus claim.</t>
  </si>
  <si>
    <t>S4 + team fade</t>
  </si>
  <si>
    <t>Bull EML share effect</t>
  </si>
  <si>
    <t>+1% → +3% → +1%</t>
  </si>
  <si>
    <t>Revenue uplift on baseline Cloud, a proxy for share/content gains; not a claimed measured EML market share.</t>
  </si>
  <si>
    <t>Team assumption</t>
  </si>
  <si>
    <t>Bull 1.6T mix effect</t>
  </si>
  <si>
    <t>+2% → +5% → +3%</t>
  </si>
  <si>
    <t>Separate external module mix premium; excludes internal component transfers and avoids intercompany double count.</t>
  </si>
  <si>
    <t>Team assumption; S1 direction</t>
  </si>
  <si>
    <t>Bull OCS increment</t>
  </si>
  <si>
    <t>150 → 1,100 → 1,485</t>
  </si>
  <si>
    <t>USD m added over the baseline Cloud path. OCS is part of Cloud; no claim this is disclosed backlog/revenue.</t>
  </si>
  <si>
    <t>Internal sourcing margin</t>
  </si>
  <si>
    <t>+50 → +150 → 0 bps</t>
  </si>
  <si>
    <t>Increment to adjusted margin only; no extra revenue for internal laser transfers.</t>
  </si>
  <si>
    <t>Adjusted EBIT margin</t>
  </si>
  <si>
    <t>~41% → 42.5% peak → 25%</t>
  </si>
  <si>
    <t>Mature terminal 25% sits between COHR 21.8% and MRVL 36.6%; FN ~10% GAAP margin provides manufacturing context.</t>
  </si>
  <si>
    <t>S10/S11/S12; team terminal choice</t>
  </si>
  <si>
    <t>Recurring SBC + payroll</t>
  </si>
  <si>
    <t>4.5% revenue</t>
  </si>
  <si>
    <t>Economic expense retained. Existing awards included separately; no recurring share-count escalator.</t>
  </si>
  <si>
    <t>S1 FY26 191.3/3,014=6.35%; assumed leverage</t>
  </si>
  <si>
    <t>Tax</t>
  </si>
  <si>
    <t>20%</t>
  </si>
  <si>
    <t>Higher than FY26 adjusted 16.5%; common across scenarios.</t>
  </si>
  <si>
    <t>S1 + conservative estimate</t>
  </si>
  <si>
    <t>D&amp;A add-back</t>
  </si>
  <si>
    <t>4% → 5.5% revenue</t>
  </si>
  <si>
    <t>Depreciation only. Acquired amortization already removed from adjusted EBIT; no second add-back.</t>
  </si>
  <si>
    <t>S1/S2 + estimate</t>
  </si>
  <si>
    <t>Capex</t>
  </si>
  <si>
    <t>13% → 6% revenue</t>
  </si>
  <si>
    <t>Gross capacity investment; terminal capex exceeds depreciation. FY26 cash capex 451.3m.</t>
  </si>
  <si>
    <t>S2 + estimate</t>
  </si>
  <si>
    <t>Operating NWC</t>
  </si>
  <si>
    <t>18%; bear 22%</t>
  </si>
  <si>
    <t>Broad operating-current-asset less operating-current-liability proxy; opening 553.4m.</t>
  </si>
  <si>
    <t>WACC</t>
  </si>
  <si>
    <t>13.97%</t>
  </si>
  <si>
    <t>4.94% Treasury + relevered peer beta × 4.5% ERP; marginal debt cost 7.44%; market weights.</t>
  </si>
  <si>
    <t>S6–S10</t>
  </si>
  <si>
    <t>Terminal growth</t>
  </si>
  <si>
    <t>3.0%</t>
  </si>
  <si>
    <t>Below roughly 4% nominal GDP benchmark (Fed June 2026: 2% real + 2% inflation); no perpetual datacom hypergrowth.</t>
  </si>
  <si>
    <t>S17 Fed benchmark / team</t>
  </si>
  <si>
    <t>Exit multiple</t>
  </si>
  <si>
    <t>16× economic EBITDA</t>
  </si>
  <si>
    <t>Mature terminal cross-check, below current 24–74× peer TTM range; not an observed future market multiple.</t>
  </si>
  <si>
    <t>S8–S10 + judgment</t>
  </si>
  <si>
    <t>Capital snapshot</t>
  </si>
  <si>
    <t>June 27, 2026</t>
  </si>
  <si>
    <t>Common 88.6m; preferred 2.9m; RSU 2m, PSU 0.8m; options 0.2m @8.10 treasury method.</t>
  </si>
  <si>
    <t>S2</t>
  </si>
  <si>
    <t>Stub convention</t>
  </si>
  <si>
    <t>0.770 years</t>
  </si>
  <si>
    <t>Uniform remaining FY27 cash generation; June cash held fixed. Approximation disclosed.</t>
  </si>
  <si>
    <t>Team convention</t>
  </si>
  <si>
    <t>BULL | WACC × TERMINAL GROWTH | $/SHARE</t>
  </si>
  <si>
    <t>BULL | WACC × EXIT EBITDA MULTIPLE | $/SHARE</t>
  </si>
  <si>
    <t>Central cells match Bull. Gordon normalizes terminal working capital at each g. Exit method applies the multiple to FY2036 economic EBITDA after recurring SBC. These are alternative methods, not values to add together. A 16× exit assumes materially more value than the Gordon-implied mature multiple.</t>
  </si>
  <si>
    <t>Solved FY28–31 Cloud CAGR</t>
  </si>
  <si>
    <t>Solved FY28–31 adjusted margin</t>
  </si>
  <si>
    <t>MARKET-IMPLIED GROWTH | OTHER BULL DRIVERS HELD FIXED</t>
  </si>
  <si>
    <t>Cloud growth</t>
  </si>
  <si>
    <t>Cloud revenue</t>
  </si>
  <si>
    <t>Industrial revenue</t>
  </si>
  <si>
    <t>Adjusted margin</t>
  </si>
  <si>
    <t>Depreciation</t>
  </si>
  <si>
    <t>Change in NWC</t>
  </si>
  <si>
    <t>uFCF</t>
  </si>
  <si>
    <t>Implied enterprise value</t>
  </si>
  <si>
    <t>Implied share value</t>
  </si>
  <si>
    <t>Difference vs market price</t>
  </si>
  <si>
    <t>MARKET-IMPLIED MARGIN | OTHER BULL DRIVERS HELD FIXED</t>
  </si>
  <si>
    <t>Reverse growth: FY27 fixed; solve constant Cloud CAGR for FY28–31, then fade it linearly to 3% by FY36. Reverse margin: hold Bull sales fixed; solve FY28–31 adjusted margin, then fade to 25%. If the solved margin exceeds 100%, the margin-only solution is economically infeasible.</t>
  </si>
  <si>
    <t>Solved inputs are Python bisection outputs. After editing assumptions in Excel, use Goal Seek: set B28 to 0 by changing B5 (growth), or B54 to 0 by changing B6 (margin); alternatively rerun the build. These are conditional break-even paths, not a claim that all investors share one forecast.</t>
  </si>
  <si>
    <t>CAPEX REALITY CHECK | REPORTED SPENDING SUPPORTS CONTINUITY, NOT ANY VALUATION</t>
  </si>
  <si>
    <t>Meta: CY2026 capex guide $130–145bn incl. finance-lease principal [S13]. Amazon: TTM net PPE purchases $169.007bn, +64% [S14]. These are broad, overlapping infrastructure indicators with different periods; do not add them or equate them to an optical TAM. LITE FY26 capex $451.3m; the model funds its own ramp explicitly.</t>
  </si>
  <si>
    <t>Bull FY27 capex</t>
  </si>
  <si>
    <t>Reverse growth FY31 capex</t>
  </si>
  <si>
    <t>THESIS: FEAR DISCOUNT REVERSES WITHIN 3–6 MONTHS IF EXECUTION HOLDS</t>
  </si>
  <si>
    <t>Pre-event close: Sept 11 [S3]</t>
  </si>
  <si>
    <t>Event close: Sept 14 [S3]</t>
  </si>
  <si>
    <t>Analyst average, 12-month horizon [S4]</t>
  </si>
  <si>
    <t>Event decline</t>
  </si>
  <si>
    <t>Drop recovered by reference close</t>
  </si>
  <si>
    <t>Remaining pure unwind upside</t>
  </si>
  <si>
    <t>Analyst-average upside</t>
  </si>
  <si>
    <t>Extra beyond prior price</t>
  </si>
  <si>
    <t>CONDITIONAL PRICE-IMPLIED DISCOUNT RATE | NOT THE COMPONENT WACC</t>
  </si>
  <si>
    <t>Pre-event price implied WACC</t>
  </si>
  <si>
    <t>Shock-close implied WACC</t>
  </si>
  <si>
    <t>Reference-close implied WACC</t>
  </si>
  <si>
    <t>Analyst-average implied WACC</t>
  </si>
  <si>
    <t>Holding all Bull cash flows fixed, these rates solve the Gordon DCF to each observed price/benchmark. Their difference isolates a possible risk-discount interpretation; it does not establish that the essay caused the move. The low absolute price-implied rates conflict with the independently built WACC.</t>
  </si>
  <si>
    <t>Catalysts over 3–6 months: next 1–2 reports confirm revenue guidance, OCS / 1.6T shipments and capacity conversion, allowing a perceived risk discount to shrink. No causal event study or consensus revision time series was available. The $1,149 vendor target is a 12-month benchmark, not a demonstrated 3–6 month DCF fair value.</t>
  </si>
  <si>
    <t>VALUATION CROSS-CHECKS | DATED CLOSES, MIXED BUSINESS MODELS</t>
  </si>
  <si>
    <t>Close</t>
  </si>
  <si>
    <t>EV / TTM EBITDA</t>
  </si>
  <si>
    <t>Forward P/E</t>
  </si>
  <si>
    <t>LITE implied value*</t>
  </si>
  <si>
    <t>LITE FY27 consensus adjusted EPS</t>
  </si>
  <si>
    <t>Analyst low</t>
  </si>
  <si>
    <t>Analyst average</t>
  </si>
  <si>
    <t>Analyst high</t>
  </si>
  <si>
    <t>*Peer forward P/E × LITE FY27 consensus adjusted EPS is an indicative relative-value check. Vendor forward P/E may use NTM rather than LITE fiscal-year EPS. COHR, MRVL and FN differ in growth, margins and capital intensity; no automatic peer-median price target is adopted.</t>
  </si>
  <si>
    <t>Peer EV / TTM EBITDA is reconstructed from Sept 17 closes, public shares, debt, cash and EBITDA. These are vendor common-equity EV proxies; complex peer preferred interests/leases may not be fully captured. The terminal 16× is a mature-state judgment, not the current 24–74× trading range.</t>
  </si>
  <si>
    <t>BEAR IS OPERATING-SURVIVABLE | NO NEW DEBT OR EQUITY REQUIRED IN THIS SIMPLE TEST</t>
  </si>
  <si>
    <t>Opening cash / investments</t>
  </si>
  <si>
    <t>Economic uFCF, stub-adjusted</t>
  </si>
  <si>
    <t>Cash principal repayments</t>
  </si>
  <si>
    <t>After-tax interest stress</t>
  </si>
  <si>
    <t>Closing cash / investments</t>
  </si>
  <si>
    <t>Remaining debt principal</t>
  </si>
  <si>
    <t>All remaining note principal is cash-settled by modeled maturities; 2026 notes are in FY27, 2029 calendar maturity is conservatively paid in FY29. Term-loan repayments are approximated and total $92.8m. Premium conversion value settles in shares. Interest is stressed at marginal borrowing cost, above actual convertible coupons.</t>
  </si>
  <si>
    <t>Economic FCF already charges recurring SBC, making this a conservative cash proxy. No buybacks, acquisitions or dividends. This annual model cannot establish intra-quarter liquidity or covenant compliance. All-note immediate principal stress leaves $1,091.3m before operating cash flows; restricted/required bank deposits may reduce available liquidity.</t>
  </si>
  <si>
    <t>3–6 MONTH THESIS | SENTIMENT RECOVERY REQUIRES INTACT EARNINGS</t>
  </si>
  <si>
    <t>The team expects a fear-driven discount to unwind over the next 1–2 earnings reports as AI infrastructure spending and optical shipments continue. The independent DCF below tests the thesis; it does not force a bullish target.</t>
  </si>
  <si>
    <t>Reference close: Sept 17</t>
  </si>
  <si>
    <t>Bear</t>
  </si>
  <si>
    <t>Gordon value / share</t>
  </si>
  <si>
    <t>Gordon upside / downside</t>
  </si>
  <si>
    <t>Exit value / share</t>
  </si>
  <si>
    <t>Exit upside / downside</t>
  </si>
  <si>
    <t>FY27 revenue</t>
  </si>
  <si>
    <t>FY27 uFCF</t>
  </si>
  <si>
    <t>FY31 revenue</t>
  </si>
  <si>
    <t>Terminal adjusted margin</t>
  </si>
  <si>
    <t>Gordon TV / EV</t>
  </si>
  <si>
    <t>Base</t>
  </si>
  <si>
    <t>Bull</t>
  </si>
  <si>
    <t>Interpretation: the operating Bull case does not support the reference share price under the conservative component WACC and mature-margin fade. A 3–6 month rebound can occur despite this; do not label a sentiment/analyst recovery target as DCF-derived intrinsic value.</t>
  </si>
  <si>
    <t>Valuation date</t>
  </si>
  <si>
    <t>2026-09-18</t>
  </si>
  <si>
    <t>FY27 remaining-year fraction</t>
  </si>
  <si>
    <t>Pure unwind to pre-event close</t>
  </si>
  <si>
    <t>Pure unwind upside</t>
  </si>
  <si>
    <t>Analyst average, 12-month benchmark</t>
  </si>
  <si>
    <t>Navigation: Assumptions and Segments show each driver; Bull / Base / Bear contain the complete uFCF build; WACC and Capital show all components; Sensitivity includes both grids; Reverse DCF and Fear Unwind separate market-implied fundamentals from sentiment; Bear Liquidity tests survival.</t>
  </si>
  <si>
    <t>Formula outputs are cached and recalculate in Excel. Reverse solved inputs and price-implied discount rates require rerunning Python or Goal Seek after changes. June balance-sheet data and a prorated FY27 stub are disclosed simplifications. Slides are a snapshot of this build.</t>
  </si>
  <si>
    <t>ID</t>
  </si>
  <si>
    <t>Document</t>
  </si>
  <si>
    <t>Date</t>
  </si>
  <si>
    <t>URL</t>
  </si>
  <si>
    <t>Use / limitation</t>
  </si>
  <si>
    <t>S1</t>
  </si>
  <si>
    <t>FY2026 results / Q1 guide</t>
  </si>
  <si>
    <t>2026-08-11</t>
  </si>
  <si>
    <t>https://investor.lumentum.com/financial-news-releases/news-details/2026/Lumentum-Announces-Fourth-Quarter-and-Full-Fiscal-Year-2026-Results/default.aspx</t>
  </si>
  <si>
    <t>FY26 revenue $3,014m; Q1 guide $1,225–1,275m, adjusted margin 39.5–40.5%; accounting reconciliation.</t>
  </si>
  <si>
    <t>FY2026 10-K</t>
  </si>
  <si>
    <t>2026-08-17</t>
  </si>
  <si>
    <t>https://www.sec.gov/Archives/edgar/data/1633978/000162828026057358/lite-20260627.htm</t>
  </si>
  <si>
    <t>Cash, NWC, PPE, debt, preferred, options and RSU/PSU; June 27 snapshot.</t>
  </si>
  <si>
    <t>S3</t>
  </si>
  <si>
    <t>LITE price history</t>
  </si>
  <si>
    <t>2026-09-17 close</t>
  </si>
  <si>
    <t>https://stockanalysis.com/stocks/lite/history/</t>
  </si>
  <si>
    <t>Sept 11 $927.03; Sept 14 $835.03; Sept 17 $893.61. Event attribution remains a thesis.</t>
  </si>
  <si>
    <t>S4</t>
  </si>
  <si>
    <t>LITE public estimates</t>
  </si>
  <si>
    <t>accessed 2026-09-18</t>
  </si>
  <si>
    <t>https://stockanalysis.com/stocks/lite/forecast/</t>
  </si>
  <si>
    <t>FY27 revenue $6.32bn; FY28 $9.61bn; FY27 adjusted EPS $21.67; analyst range $820–1,400, avg $1,149. Secondary vendor.</t>
  </si>
  <si>
    <t>S5</t>
  </si>
  <si>
    <t>FY2025 results / former segments</t>
  </si>
  <si>
    <t>2025-08</t>
  </si>
  <si>
    <t>https://investor.lumentum.com/financial-news-releases/news-details/2025/Lumentum-Announces-Fourth-Quarter-and-Full-Fiscal-Year-2025-Results/</t>
  </si>
  <si>
    <t>Cloud &amp; Networking $1,410.8m; Industrial Tech $234.2m. FY26 no longer reports these segments.</t>
  </si>
  <si>
    <t>S6</t>
  </si>
  <si>
    <t>Treasury yield curve</t>
  </si>
  <si>
    <t>2026-09-17</t>
  </si>
  <si>
    <t>https://home.treasury.gov/resource-center/data-chart-center/interest-rates/TextView?type=daily_treasury_yield_curve&amp;field_tdr_date_value=2026</t>
  </si>
  <si>
    <t>10-year Treasury 4.94%; dated nominal USD risk-free proxy.</t>
  </si>
  <si>
    <t>S7</t>
  </si>
  <si>
    <t>Damodaran implied ERP</t>
  </si>
  <si>
    <t>2026-09-01</t>
  </si>
  <si>
    <t>https://pages.stern.nyu.edu/adamodar/New_Home_Page/home.htm</t>
  </si>
  <si>
    <t>Observed trailing adjusted payout ERP 4.14%; model deliberately uses 4.50%.</t>
  </si>
  <si>
    <t>S8</t>
  </si>
  <si>
    <t>Coherent statistics</t>
  </si>
  <si>
    <t>https://stockanalysis.com/stocks/cohr/statistics/</t>
  </si>
  <si>
    <t>Beta 2.10; debt $3.55bn; cash $1.99bn; EBITDA $1.42bn. Price ratios re-anchored to Sept 17.</t>
  </si>
  <si>
    <t>S9</t>
  </si>
  <si>
    <t>Marvell statistics</t>
  </si>
  <si>
    <t>https://stockanalysis.com/stocks/mrvl/statistics/</t>
  </si>
  <si>
    <t>Beta 2.25; debt $5.29bn; cash $3.93bn; EBITDA $2.85bn; forward P/E 44.12x.</t>
  </si>
  <si>
    <t>S10</t>
  </si>
  <si>
    <t>Fabrinet statistics</t>
  </si>
  <si>
    <t>https://stockanalysis.com/stocks/fn/statistics/</t>
  </si>
  <si>
    <t>Beta 1.21; debt $4.01m; cash $875.06m; EBITDA $530.73m; forward P/E re-anchored to Sept 17.</t>
  </si>
  <si>
    <t>S11</t>
  </si>
  <si>
    <t>Coherent FY26 results</t>
  </si>
  <si>
    <t>2026-08-12</t>
  </si>
  <si>
    <t>https://www.sec.gov/Archives/edgar/data/820318/000119312526346860/d128030dex991.htm</t>
  </si>
  <si>
    <t>Q4 adjusted operating margin 21.8%; mature margin cross-check, not like-for-like economics.</t>
  </si>
  <si>
    <t>S12</t>
  </si>
  <si>
    <t>Marvell Q2 FY27 results</t>
  </si>
  <si>
    <t>2026-08-27</t>
  </si>
  <si>
    <t>https://investor.marvell.com/news-events/press-releases/detail/1031/marvell-technology-inc-reports-second-quarter-of-fiscal-year-2027-financial-results</t>
  </si>
  <si>
    <t>Q2 adjusted operating margin 36.6%; higher-margin fabless comparison.</t>
  </si>
  <si>
    <t>S13</t>
  </si>
  <si>
    <t>Meta Q2 CY26 results</t>
  </si>
  <si>
    <t>2026-07-29</t>
  </si>
  <si>
    <t>https://investor.atmeta.com/investor-news/press-release-details/2026/Meta-Reports-Second-Quarter-2026-Results/default.aspx</t>
  </si>
  <si>
    <t>2026 capex including finance-lease principal $130–145bn. Broader than optics spending.</t>
  </si>
  <si>
    <t>S14</t>
  </si>
  <si>
    <t>Amazon Q2 CY26 results</t>
  </si>
  <si>
    <t>2026-07-30</t>
  </si>
  <si>
    <t>https://ir.aboutamazon.com/news-release/news-release-details/2026/Amazon-com-Announces-Second-Quarter-Results/default.aspx</t>
  </si>
  <si>
    <t>TTM net PPE purchases $169.007bn, +64%; infrastructure evidence, not an optics TAM.</t>
  </si>
  <si>
    <t>S15</t>
  </si>
  <si>
    <t>LITE statistics</t>
  </si>
  <si>
    <t>https://stockanalysis.com/stocks/lite/statistics/</t>
  </si>
  <si>
    <t>Own observed beta 1.54; lower-WACC cross-check, not the primary beta.</t>
  </si>
  <si>
    <t>S16</t>
  </si>
  <si>
    <t>Amodei essay</t>
  </si>
  <si>
    <t>September 2026</t>
  </si>
  <si>
    <t>https://darioamodei.com/post/we-must-pace-the-frontier</t>
  </si>
  <si>
    <t>Team thesis: fear discount unwinds over 3–6 months if execution remains intact. Causality unproven.</t>
  </si>
  <si>
    <t>S17</t>
  </si>
  <si>
    <t>Fed June 2026 projections</t>
  </si>
  <si>
    <t>2026-06-17</t>
  </si>
  <si>
    <t>https://www.federalreserve.gov/monetarypolicy/fomcprojtabl20260617.htm</t>
  </si>
  <si>
    <t>Long-run median real GDP 2%, inflation 2%; roughly 4% nominal benchmark.</t>
  </si>
  <si>
    <t>Thesis ownership</t>
  </si>
  <si>
    <t>User selected LITE, a Bull operating case and a 3–6 month fear-discount reversal thesis. A negative DCF result is retained rather than changing WACC to hit a target.</t>
  </si>
  <si>
    <t>Above-consensus</t>
  </si>
  <si>
    <t>Bull FY27/FY28 sales exceed published $6.32bn/$9.61bn estimates only through the explicitly modeled EML / 1.6T / OCS revenue increments. Internal sourcing raises margin. Product-level consensus is unavailable, so these are above-base assumptions, not verified product-consensus beats.</t>
  </si>
  <si>
    <t>Beyond FY28</t>
  </si>
  <si>
    <t>Public later-year consensus was unavailable. Ramp/fade, reinvestment and mature margin are independent assumptions. It would be false to confirm that every non-operating assumption matches consensus.</t>
  </si>
  <si>
    <t>WACC and g</t>
  </si>
  <si>
    <t>Same conservative WACC/g across cases: peer beta exceeds own beta; ERP above observed; g 3% below ~4% nominal benchmark. These are independent estimates, not price-calibrated rates. The 16× exit multiple is a separate judgment and is more generous than Gordon.</t>
  </si>
  <si>
    <t>Fear is a hypothesis</t>
  </si>
  <si>
    <t>The September 14 drop is observed; its attribution to the essay and unchanged post-event consensus are not established by a causal study or revision history. The current reference has already recovered part of that drop.</t>
  </si>
  <si>
    <t>Mature margin</t>
  </si>
  <si>
    <t>Peak adjusted margin 42.5% falls to 25%; economic EBIT is another 4.5 percentage points lower after SBC. COHR 21.8% and MRVL 36.6% adjusted margins bracket the assumption but are not identical businesses or a mature-peer consensus.</t>
  </si>
  <si>
    <t>Accounting and sources</t>
  </si>
  <si>
    <t>Company/SEC accounts anchor reported values. Vendor estimates and betas are labeled. Reconstructed former segments are estimates; no actual product share, OCS revenue, or internal sourcing percentage is invented.</t>
  </si>
  <si>
    <t>AI use</t>
  </si>
  <si>
    <t>AI retrieved and checked sources, modeled cash flows, built Excel and slides, and ran arithmetic/formula checks. Human direction set thesis/company/horizon. Human verification is not represented as complete.</t>
  </si>
  <si>
    <t>Corrections</t>
  </si>
  <si>
    <t>Prior FN recommendation and preliminary LITE model are superseded. Revised model includes component WACC, terminal margin fade, both terminal methods, options treasury method, product uplift drivers and reverse DCF. The earlier softer-WACC draft must not be used.</t>
  </si>
  <si>
    <t>Capital limits</t>
  </si>
  <si>
    <t>Existing awards use full RSU/PSU counts; options treasury method uses entry reference price. June snapshot and later conversion requests are disclosed. Preferred is common-equivalent; capped-call benefits excluded. No double deduction of full convertible principal plus full conversion dilution.</t>
  </si>
  <si>
    <t>Bull: cash flow identity</t>
  </si>
  <si>
    <t>Bull: Gordon equity bridge</t>
  </si>
  <si>
    <t>Bull: exit equity bridge</t>
  </si>
  <si>
    <t>Bull: terminal margin fades</t>
  </si>
  <si>
    <t>Base: cash flow identity</t>
  </si>
  <si>
    <t>Base: Gordon equity bridge</t>
  </si>
  <si>
    <t>Base: exit equity bridge</t>
  </si>
  <si>
    <t>Base: terminal margin fades</t>
  </si>
  <si>
    <t>Bear: cash flow identity</t>
  </si>
  <si>
    <t>Bear: Gordon equity bridge</t>
  </si>
  <si>
    <t>Bear: exit equity bridge</t>
  </si>
  <si>
    <t>Bear: terminal margin fades</t>
  </si>
  <si>
    <t>Sensitivity Gordon center</t>
  </si>
  <si>
    <t>Sensitivity exit center</t>
  </si>
  <si>
    <t>Reverse growth matches price</t>
  </si>
  <si>
    <t>Reverse margin matches price</t>
  </si>
  <si>
    <t>WACC greater than g</t>
  </si>
  <si>
    <t>Bear annual liquidity positive</t>
  </si>
  <si>
    <t>Checks validate arithmetic and identities, not forecast realism. Reverse-margin arithmetic can match price while requiring an impossible &gt;100% margin; that is an analytical finding, not a model pass on feasibility.</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</si>
</sst>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5">
    <numFmt numFmtId="164" formatCode="\$#,##0.00;\(\$#,##0.00\)"/>
    <numFmt numFmtId="165" formatCode="0.0%;\(0.0%\);\–"/>
    <numFmt numFmtId="166" formatCode="#,##0.0;\(#,##0.0\);\–"/>
    <numFmt numFmtId="167" formatCode="0.0%"/>
    <numFmt numFmtId="168" formatCode="#,##0.0;\(#,##0.0\)"/>
  </numFmts>
  <fonts count="9" x14ac:knownFonts="1">
    <font>
      <sz val="11"/>
      <color theme="1"/>
      <name val="Calibri"/>
      <family val="2"/>
      <scheme val="minor"/>
    </font>
    <font>
      <b/>
      <sz val="20"/>
      <color rgb="FFFFFFFF"/>
      <name val="Calibri"/>
      <family val="2"/>
      <scheme val="minor"/>
    </font>
    <font>
      <sz val="10"/>
      <color rgb="FF536575"/>
      <name val="Calibri"/>
      <family val="2"/>
      <scheme val="minor"/>
    </font>
    <font>
      <b/>
      <sz val="11"/>
      <color rgb="FFFFFFFF"/>
      <name val="Calibri"/>
      <family val="2"/>
      <scheme val="minor"/>
    </font>
    <font>
      <sz val="10"/>
      <color theme="1"/>
      <name val="Calibri"/>
      <family val="2"/>
      <scheme val="minor"/>
    </font>
    <font>
      <b/>
      <sz val="12"/>
      <color theme="1"/>
      <name val="Calibri"/>
      <family val="2"/>
      <scheme val="minor"/>
    </font>
    <font>
      <sz val="11"/>
      <color rgb="FF734600"/>
      <name val="Calibri"/>
      <family val="2"/>
      <scheme val="minor"/>
    </font>
    <font>
      <sz val="11"/>
      <color rgb="FF1558C0"/>
      <name val="Calibri"/>
      <family val="2"/>
      <scheme val="minor"/>
    </font>
    <font>
      <b/>
      <sz val="11"/>
      <color theme="1"/>
      <name val="Calibri"/>
      <family val="2"/>
      <scheme val="minor"/>
    </font>
  </fonts>
  <fills count="7">
    <fill>
      <patternFill patternType="none"/>
    </fill>
    <fill>
      <patternFill patternType="gray125"/>
    </fill>
    <fill>
      <patternFill patternType="solid">
        <fgColor rgb="FF142638"/>
        <bgColor indexed="64"/>
      </patternFill>
    </fill>
    <fill>
      <patternFill patternType="solid">
        <fgColor rgb="FF087F8C"/>
        <bgColor indexed="64"/>
      </patternFill>
    </fill>
    <fill>
      <patternFill patternType="solid">
        <fgColor rgb="FFFFF1D6"/>
        <bgColor indexed="64"/>
      </patternFill>
    </fill>
    <fill>
      <patternFill patternType="solid">
        <fgColor rgb="FFEFF4FF"/>
        <bgColor indexed="64"/>
      </patternFill>
    </fill>
    <fill>
      <patternFill patternType="solid">
        <fgColor rgb="FFEAF3F4"/>
        <bgColor indexed="64"/>
      </patternFill>
    </fill>
  </fills>
  <borders count="2">
    <border>
      <left/>
      <right/>
      <top/>
      <bottom/>
      <diagonal/>
    </border>
    <border>
      <left/>
      <right/>
      <top style="thin">
        <color auto="1"/>
      </top>
      <bottom/>
      <diagonal/>
    </border>
  </borders>
  <cellStyleXfs count="1">
    <xf numFmtId="0" fontId="0" fillId="0" borderId="0"/>
  </cellStyleXfs>
  <cellXfs count="14">
    <xf numFmtId="0" fontId="0" fillId="0" borderId="0" xfId="0"/>
    <xf numFmtId="0" fontId="3" fillId="3" borderId="0" xfId="0" applyFont="1" applyFill="1" applyAlignment="1">
      <alignment wrapText="1"/>
    </xf>
    <xf numFmtId="0" fontId="4" fillId="0" borderId="0" xfId="0" applyFont="1" applyAlignment="1">
      <alignment vertical="top" wrapText="1"/>
    </xf>
    <xf numFmtId="164" fontId="5" fillId="0" borderId="0" xfId="0" applyNumberFormat="1" applyFont="1"/>
    <xf numFmtId="165" fontId="4" fillId="0" borderId="0" xfId="0" applyNumberFormat="1" applyFont="1"/>
    <xf numFmtId="166" fontId="4" fillId="0" borderId="0" xfId="0" applyNumberFormat="1" applyFont="1"/>
    <xf numFmtId="4" fontId="7" fillId="5" borderId="0" xfId="0" applyNumberFormat="1" applyFont="1" applyFill="1"/>
    <xf numFmtId="167" fontId="7" fillId="5" borderId="0" xfId="0" applyNumberFormat="1" applyFont="1" applyFill="1"/>
    <xf numFmtId="168" fontId="8" fillId="6" borderId="1" xfId="0" applyNumberFormat="1" applyFont="1" applyFill="1" applyBorder="1"/>
    <xf numFmtId="0" fontId="1" fillId="2" borderId="0" xfId="0" applyFont="1" applyFill="1"/>
    <xf numFmtId="0" fontId="2" fillId="0" borderId="0" xfId="0" applyFont="1" applyAlignment="1">
      <alignment vertical="top" wrapText="1"/>
    </xf>
    <xf numFmtId="0" fontId="3" fillId="3" borderId="0" xfId="0" applyFont="1" applyFill="1" applyAlignment="1">
      <alignment wrapText="1"/>
    </xf>
    <xf numFmtId="0" fontId="6" fillId="4" borderId="0" xfId="0" applyFont="1" applyFill="1" applyAlignment="1">
      <alignment vertical="top" wrapText="1"/>
    </xf>
    <xf numFmtId="0" fontId="4" fillId="0" borderId="0" xfId="0" applyFont="1" applyAlignment="1">
      <alignment vertical="top" wrapText="1"/>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theme" Target="theme/theme1.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calcChain" Target="calcChain.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worksheet" Target="worksheets/sheet15.xml"/><Relationship Id="rId10" Type="http://schemas.openxmlformats.org/officeDocument/2006/relationships/worksheet" Target="worksheets/sheet10.xml"/><Relationship Id="rId19"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4.xml.rels><?xml version="1.0" encoding="UTF-8" standalone="yes"?>
<Relationships xmlns="http://schemas.openxmlformats.org/package/2006/relationships"><Relationship Id="rId8" Type="http://schemas.openxmlformats.org/officeDocument/2006/relationships/hyperlink" Target="https://stockanalysis.com/stocks/cohr/statistics/" TargetMode="External"/><Relationship Id="rId13" Type="http://schemas.openxmlformats.org/officeDocument/2006/relationships/hyperlink" Target="https://investor.atmeta.com/investor-news/press-release-details/2026/Meta-Reports-Second-Quarter-2026-Results/default.aspx" TargetMode="External"/><Relationship Id="rId3" Type="http://schemas.openxmlformats.org/officeDocument/2006/relationships/hyperlink" Target="https://stockanalysis.com/stocks/lite/history/" TargetMode="External"/><Relationship Id="rId7" Type="http://schemas.openxmlformats.org/officeDocument/2006/relationships/hyperlink" Target="https://pages.stern.nyu.edu/adamodar/New_Home_Page/home.htm" TargetMode="External"/><Relationship Id="rId12" Type="http://schemas.openxmlformats.org/officeDocument/2006/relationships/hyperlink" Target="https://investor.marvell.com/news-events/press-releases/detail/1031/marvell-technology-inc-reports-second-quarter-of-fiscal-year-2027-financial-results" TargetMode="External"/><Relationship Id="rId17" Type="http://schemas.openxmlformats.org/officeDocument/2006/relationships/hyperlink" Target="https://www.federalreserve.gov/monetarypolicy/fomcprojtabl20260617.htm" TargetMode="External"/><Relationship Id="rId2" Type="http://schemas.openxmlformats.org/officeDocument/2006/relationships/hyperlink" Target="https://www.sec.gov/Archives/edgar/data/1633978/000162828026057358/lite-20260627.htm" TargetMode="External"/><Relationship Id="rId16" Type="http://schemas.openxmlformats.org/officeDocument/2006/relationships/hyperlink" Target="https://darioamodei.com/post/we-must-pace-the-frontier" TargetMode="External"/><Relationship Id="rId1" Type="http://schemas.openxmlformats.org/officeDocument/2006/relationships/hyperlink" Target="https://investor.lumentum.com/financial-news-releases/news-details/2026/Lumentum-Announces-Fourth-Quarter-and-Full-Fiscal-Year-2026-Results/default.aspx" TargetMode="External"/><Relationship Id="rId6" Type="http://schemas.openxmlformats.org/officeDocument/2006/relationships/hyperlink" Target="https://home.treasury.gov/resource-center/data-chart-center/interest-rates/TextView?type=daily_treasury_yield_curve&amp;field_tdr_date_value=2026" TargetMode="External"/><Relationship Id="rId11" Type="http://schemas.openxmlformats.org/officeDocument/2006/relationships/hyperlink" Target="https://www.sec.gov/Archives/edgar/data/820318/000119312526346860/d128030dex991.htm" TargetMode="External"/><Relationship Id="rId5" Type="http://schemas.openxmlformats.org/officeDocument/2006/relationships/hyperlink" Target="https://investor.lumentum.com/financial-news-releases/news-details/2025/Lumentum-Announces-Fourth-Quarter-and-Full-Fiscal-Year-2025-Results/" TargetMode="External"/><Relationship Id="rId15" Type="http://schemas.openxmlformats.org/officeDocument/2006/relationships/hyperlink" Target="https://stockanalysis.com/stocks/lite/statistics/" TargetMode="External"/><Relationship Id="rId10" Type="http://schemas.openxmlformats.org/officeDocument/2006/relationships/hyperlink" Target="https://stockanalysis.com/stocks/fn/statistics/" TargetMode="External"/><Relationship Id="rId4" Type="http://schemas.openxmlformats.org/officeDocument/2006/relationships/hyperlink" Target="https://stockanalysis.com/stocks/lite/forecast/" TargetMode="External"/><Relationship Id="rId9" Type="http://schemas.openxmlformats.org/officeDocument/2006/relationships/hyperlink" Target="https://stockanalysis.com/stocks/mrvl/statistics/" TargetMode="External"/><Relationship Id="rId14" Type="http://schemas.openxmlformats.org/officeDocument/2006/relationships/hyperlink" Target="https://ir.aboutamazon.com/news-release/news-release-details/2026/Amazon-com-Announces-Second-Quarter-Results/default.aspx"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pageSetUpPr fitToPage="1"/>
  </sheetPr>
  <dimension ref="A1:K34"/>
  <sheetViews>
    <sheetView showGridLines="0" tabSelected="1" zoomScale="90" zoomScaleNormal="90" workbookViewId="0">
      <pane xSplit="1" ySplit="6" topLeftCell="B7" activePane="bottomRight" state="frozen"/>
      <selection pane="topRight" activeCell="B1" sqref="B1"/>
      <selection pane="bottomLeft" activeCell="A7" sqref="A7"/>
      <selection pane="bottomRight" sqref="A1:K2"/>
    </sheetView>
  </sheetViews>
  <sheetFormatPr defaultRowHeight="14.5" x14ac:dyDescent="0.35"/>
  <cols>
    <col min="1" max="1" width="40.7265625" customWidth="1"/>
    <col min="2" max="4" width="20.7265625" customWidth="1"/>
    <col min="5" max="11" width="14.7265625" customWidth="1"/>
  </cols>
  <sheetData>
    <row r="1" spans="1:11" x14ac:dyDescent="0.35">
      <c r="A1" s="9" t="s">
        <v>0</v>
      </c>
      <c r="B1" s="9"/>
      <c r="C1" s="9"/>
      <c r="D1" s="9"/>
      <c r="E1" s="9"/>
      <c r="F1" s="9"/>
      <c r="G1" s="9"/>
      <c r="H1" s="9"/>
      <c r="I1" s="9"/>
      <c r="J1" s="9"/>
      <c r="K1" s="9"/>
    </row>
    <row r="2" spans="1:11" x14ac:dyDescent="0.35">
      <c r="A2" s="9"/>
      <c r="B2" s="9"/>
      <c r="C2" s="9"/>
      <c r="D2" s="9"/>
      <c r="E2" s="9"/>
      <c r="F2" s="9"/>
      <c r="G2" s="9"/>
      <c r="H2" s="9"/>
      <c r="I2" s="9"/>
      <c r="J2" s="9"/>
      <c r="K2" s="9"/>
    </row>
    <row r="3" spans="1:11" x14ac:dyDescent="0.35">
      <c r="A3" s="10" t="s">
        <v>1</v>
      </c>
      <c r="B3" s="10"/>
      <c r="C3" s="10"/>
      <c r="D3" s="10"/>
      <c r="E3" s="10"/>
      <c r="F3" s="10"/>
      <c r="G3" s="10"/>
      <c r="H3" s="10"/>
      <c r="I3" s="10"/>
      <c r="J3" s="10"/>
      <c r="K3" s="10"/>
    </row>
    <row r="5" spans="1:11" ht="24" customHeight="1" x14ac:dyDescent="0.35">
      <c r="A5" s="11" t="s">
        <v>300</v>
      </c>
      <c r="B5" s="11"/>
      <c r="C5" s="11"/>
      <c r="D5" s="11"/>
      <c r="E5" s="11"/>
      <c r="F5" s="11"/>
      <c r="G5" s="11"/>
      <c r="H5" s="11"/>
      <c r="I5" s="11"/>
      <c r="J5" s="11"/>
      <c r="K5" s="11"/>
    </row>
    <row r="6" spans="1:11" ht="42" customHeight="1" x14ac:dyDescent="0.35">
      <c r="A6" s="10" t="s">
        <v>301</v>
      </c>
      <c r="B6" s="10"/>
      <c r="C6" s="10"/>
      <c r="D6" s="10"/>
      <c r="E6" s="10"/>
      <c r="F6" s="10"/>
      <c r="G6" s="10"/>
      <c r="H6" s="10"/>
      <c r="I6" s="10"/>
      <c r="J6" s="10"/>
      <c r="K6" s="10"/>
    </row>
    <row r="8" spans="1:11" ht="15.5" x14ac:dyDescent="0.35">
      <c r="A8" s="2" t="s">
        <v>302</v>
      </c>
      <c r="B8" s="3">
        <f>Capital!B16</f>
        <v>893.61</v>
      </c>
    </row>
    <row r="10" spans="1:11" x14ac:dyDescent="0.35">
      <c r="B10" s="1" t="s">
        <v>303</v>
      </c>
      <c r="C10" s="1" t="s">
        <v>313</v>
      </c>
      <c r="D10" s="1" t="s">
        <v>314</v>
      </c>
    </row>
    <row r="11" spans="1:11" ht="15.5" x14ac:dyDescent="0.35">
      <c r="A11" s="2" t="s">
        <v>304</v>
      </c>
      <c r="B11" s="3">
        <f>Bear!B66</f>
        <v>125.94095146216625</v>
      </c>
      <c r="C11" s="3">
        <f>Base!B66</f>
        <v>268.02422819645864</v>
      </c>
      <c r="D11" s="3">
        <f>Bull!B66</f>
        <v>300.29219953016508</v>
      </c>
    </row>
    <row r="12" spans="1:11" x14ac:dyDescent="0.35">
      <c r="A12" s="2" t="s">
        <v>305</v>
      </c>
      <c r="B12" s="4">
        <f>Bear!B67</f>
        <v>-0.85906497077901289</v>
      </c>
      <c r="C12" s="4">
        <f>Base!B67</f>
        <v>-0.70006576896357631</v>
      </c>
      <c r="D12" s="4">
        <f>Bull!B67</f>
        <v>-0.66395608875217926</v>
      </c>
    </row>
    <row r="13" spans="1:11" ht="15.5" x14ac:dyDescent="0.35">
      <c r="A13" s="2" t="s">
        <v>306</v>
      </c>
      <c r="B13" s="3">
        <f>Bear!D66</f>
        <v>211.0052099121076</v>
      </c>
      <c r="C13" s="3">
        <f>Base!D66</f>
        <v>448.34516083418009</v>
      </c>
      <c r="D13" s="3">
        <f>Bull!D66</f>
        <v>498.52765279072077</v>
      </c>
    </row>
    <row r="14" spans="1:11" x14ac:dyDescent="0.35">
      <c r="A14" s="2" t="s">
        <v>307</v>
      </c>
      <c r="B14" s="4">
        <f>Bear!D67</f>
        <v>-0.76387326695973901</v>
      </c>
      <c r="C14" s="4">
        <f>Base!D67</f>
        <v>-0.4982764731435636</v>
      </c>
      <c r="D14" s="4">
        <f>Bull!D67</f>
        <v>-0.44211943376783969</v>
      </c>
    </row>
    <row r="15" spans="1:11" x14ac:dyDescent="0.35">
      <c r="A15" s="2" t="s">
        <v>308</v>
      </c>
      <c r="B15" s="5">
        <f>Bear!B20</f>
        <v>5600</v>
      </c>
      <c r="C15" s="5">
        <f>Base!B20</f>
        <v>6320</v>
      </c>
      <c r="D15" s="5">
        <f>Bull!B20</f>
        <v>6651.7800619999998</v>
      </c>
    </row>
    <row r="16" spans="1:11" x14ac:dyDescent="0.35">
      <c r="A16" s="2" t="s">
        <v>309</v>
      </c>
      <c r="B16" s="5">
        <f>Bear!B32</f>
        <v>183.79999999999984</v>
      </c>
      <c r="C16" s="5">
        <f>Base!B32</f>
        <v>654.52000000000032</v>
      </c>
      <c r="D16" s="5">
        <f>Bull!B32</f>
        <v>686.43560123999976</v>
      </c>
    </row>
    <row r="17" spans="1:11" x14ac:dyDescent="0.35">
      <c r="A17" s="2" t="s">
        <v>310</v>
      </c>
      <c r="B17" s="5">
        <f>Bear!F20</f>
        <v>9035.9602800000011</v>
      </c>
      <c r="C17" s="5">
        <f>Base!F20</f>
        <v>17527.678999999996</v>
      </c>
      <c r="D17" s="5">
        <f>Bull!F20</f>
        <v>20003.56667585699</v>
      </c>
    </row>
    <row r="18" spans="1:11" x14ac:dyDescent="0.35">
      <c r="A18" s="2" t="s">
        <v>311</v>
      </c>
      <c r="B18" s="4">
        <f>Bear!K10</f>
        <v>0.25</v>
      </c>
      <c r="C18" s="4">
        <f>Base!K10</f>
        <v>0.25</v>
      </c>
      <c r="D18" s="4">
        <f>Bull!K10</f>
        <v>0.25</v>
      </c>
    </row>
    <row r="19" spans="1:11" x14ac:dyDescent="0.35">
      <c r="A19" s="2" t="s">
        <v>312</v>
      </c>
      <c r="B19" s="4">
        <f>Bear!B53</f>
        <v>0.40665956345138271</v>
      </c>
      <c r="C19" s="4">
        <f>Base!B53</f>
        <v>0.39485116610716259</v>
      </c>
      <c r="D19" s="4">
        <f>Bull!B53</f>
        <v>0.38311535752775738</v>
      </c>
    </row>
    <row r="21" spans="1:11" ht="51" customHeight="1" x14ac:dyDescent="0.35">
      <c r="A21" s="12" t="s">
        <v>315</v>
      </c>
      <c r="B21" s="12"/>
      <c r="C21" s="12"/>
      <c r="D21" s="12"/>
      <c r="E21" s="12"/>
      <c r="F21" s="12"/>
      <c r="G21" s="12"/>
      <c r="H21" s="12"/>
      <c r="I21" s="12"/>
      <c r="J21" s="12"/>
      <c r="K21" s="12"/>
    </row>
    <row r="24" spans="1:11" x14ac:dyDescent="0.35">
      <c r="A24" s="2" t="s">
        <v>316</v>
      </c>
      <c r="B24" s="2" t="s">
        <v>317</v>
      </c>
    </row>
    <row r="25" spans="1:11" x14ac:dyDescent="0.35">
      <c r="A25" s="2" t="s">
        <v>318</v>
      </c>
      <c r="B25" s="4">
        <f>(DATE(2027,6,26)-DATE(2026,9,18))/365</f>
        <v>0.76986301369863008</v>
      </c>
    </row>
    <row r="27" spans="1:11" ht="15.5" x14ac:dyDescent="0.35">
      <c r="A27" s="2" t="s">
        <v>319</v>
      </c>
      <c r="B27" s="3">
        <f>'Fear Unwind'!B7</f>
        <v>927.03</v>
      </c>
    </row>
    <row r="28" spans="1:11" x14ac:dyDescent="0.35">
      <c r="A28" s="2" t="s">
        <v>320</v>
      </c>
      <c r="B28" s="4">
        <f>'Fear Unwind'!B14</f>
        <v>3.7398865276798476E-2</v>
      </c>
    </row>
    <row r="29" spans="1:11" ht="15.5" x14ac:dyDescent="0.35">
      <c r="A29" s="2" t="s">
        <v>321</v>
      </c>
      <c r="B29" s="3">
        <f>Comps!B16</f>
        <v>1149</v>
      </c>
    </row>
    <row r="32" spans="1:11" ht="48" customHeight="1" x14ac:dyDescent="0.35">
      <c r="A32" s="10" t="s">
        <v>322</v>
      </c>
      <c r="B32" s="10"/>
      <c r="C32" s="10"/>
      <c r="D32" s="10"/>
      <c r="E32" s="10"/>
      <c r="F32" s="10"/>
      <c r="G32" s="10"/>
      <c r="H32" s="10"/>
      <c r="I32" s="10"/>
      <c r="J32" s="10"/>
      <c r="K32" s="10"/>
    </row>
    <row r="34" spans="1:11" ht="48" customHeight="1" x14ac:dyDescent="0.35">
      <c r="A34" s="10" t="s">
        <v>323</v>
      </c>
      <c r="B34" s="10"/>
      <c r="C34" s="10"/>
      <c r="D34" s="10"/>
      <c r="E34" s="10"/>
      <c r="F34" s="10"/>
      <c r="G34" s="10"/>
      <c r="H34" s="10"/>
      <c r="I34" s="10"/>
      <c r="J34" s="10"/>
      <c r="K34" s="10"/>
    </row>
  </sheetData>
  <mergeCells count="7">
    <mergeCell ref="A32:K32"/>
    <mergeCell ref="A34:K34"/>
    <mergeCell ref="A1:K2"/>
    <mergeCell ref="A3:K3"/>
    <mergeCell ref="A5:K5"/>
    <mergeCell ref="A6:K6"/>
    <mergeCell ref="A21:K21"/>
  </mergeCells>
  <pageMargins left="0.7" right="0.7" top="0.75" bottom="0.75" header="0.3" footer="0.3"/>
  <pageSetup paperSize="9" fitToHeight="0" orientation="landscape"/>
  <headerFooter>
    <oddFooter>&amp;LAI-assisted; sources and assumptions disclosed&amp;R&amp;P / &amp;N</oddFooter>
  </headerFooter>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pageSetUpPr fitToPage="1"/>
  </sheetPr>
  <dimension ref="A1:K24"/>
  <sheetViews>
    <sheetView showGridLines="0" zoomScale="90" zoomScaleNormal="90" workbookViewId="0">
      <pane xSplit="1" ySplit="6" topLeftCell="B7" activePane="bottomRight" state="frozen"/>
      <selection pane="topRight" activeCell="B1" sqref="B1"/>
      <selection pane="bottomLeft" activeCell="A7" sqref="A7"/>
      <selection pane="bottomRight"/>
    </sheetView>
  </sheetViews>
  <sheetFormatPr defaultRowHeight="14.5" x14ac:dyDescent="0.35"/>
  <cols>
    <col min="1" max="1" width="31.7265625" customWidth="1"/>
    <col min="2" max="2" width="30.7265625" customWidth="1"/>
    <col min="3" max="3" width="76.7265625" customWidth="1"/>
    <col min="4" max="4" width="33.7265625" customWidth="1"/>
    <col min="5" max="11" width="14.7265625" customWidth="1"/>
  </cols>
  <sheetData>
    <row r="1" spans="1:11" x14ac:dyDescent="0.35">
      <c r="A1" s="9" t="s">
        <v>2</v>
      </c>
      <c r="B1" s="9"/>
      <c r="C1" s="9"/>
      <c r="D1" s="9"/>
      <c r="E1" s="9"/>
      <c r="F1" s="9"/>
      <c r="G1" s="9"/>
      <c r="H1" s="9"/>
      <c r="I1" s="9"/>
      <c r="J1" s="9"/>
      <c r="K1" s="9"/>
    </row>
    <row r="2" spans="1:11" x14ac:dyDescent="0.35">
      <c r="A2" s="9"/>
      <c r="B2" s="9"/>
      <c r="C2" s="9"/>
      <c r="D2" s="9"/>
      <c r="E2" s="9"/>
      <c r="F2" s="9"/>
      <c r="G2" s="9"/>
      <c r="H2" s="9"/>
      <c r="I2" s="9"/>
      <c r="J2" s="9"/>
      <c r="K2" s="9"/>
    </row>
    <row r="3" spans="1:11" x14ac:dyDescent="0.35">
      <c r="A3" s="10" t="s">
        <v>1</v>
      </c>
      <c r="B3" s="10"/>
      <c r="C3" s="10"/>
      <c r="D3" s="10"/>
      <c r="E3" s="10"/>
      <c r="F3" s="10"/>
      <c r="G3" s="10"/>
      <c r="H3" s="10"/>
      <c r="I3" s="10"/>
      <c r="J3" s="10"/>
      <c r="K3" s="10"/>
    </row>
    <row r="5" spans="1:11" x14ac:dyDescent="0.35">
      <c r="A5" s="1" t="s">
        <v>164</v>
      </c>
      <c r="B5" s="1" t="s">
        <v>165</v>
      </c>
      <c r="C5" s="1" t="s">
        <v>166</v>
      </c>
      <c r="D5" s="1" t="s">
        <v>167</v>
      </c>
    </row>
    <row r="6" spans="1:11" ht="60" customHeight="1" x14ac:dyDescent="0.35">
      <c r="A6" s="2" t="s">
        <v>168</v>
      </c>
      <c r="B6" s="2" t="s">
        <v>169</v>
      </c>
      <c r="C6" s="2" t="s">
        <v>170</v>
      </c>
      <c r="D6" s="2" t="s">
        <v>171</v>
      </c>
    </row>
    <row r="7" spans="1:11" ht="60" customHeight="1" x14ac:dyDescent="0.35">
      <c r="A7" s="2" t="s">
        <v>172</v>
      </c>
      <c r="B7" s="2" t="s">
        <v>173</v>
      </c>
      <c r="C7" s="2" t="s">
        <v>174</v>
      </c>
      <c r="D7" s="2" t="s">
        <v>175</v>
      </c>
    </row>
    <row r="8" spans="1:11" ht="60" customHeight="1" x14ac:dyDescent="0.35">
      <c r="A8" s="2" t="s">
        <v>176</v>
      </c>
      <c r="B8" s="2" t="s">
        <v>177</v>
      </c>
      <c r="C8" s="2" t="s">
        <v>178</v>
      </c>
      <c r="D8" s="2" t="s">
        <v>179</v>
      </c>
    </row>
    <row r="9" spans="1:11" ht="60" customHeight="1" x14ac:dyDescent="0.35">
      <c r="A9" s="2" t="s">
        <v>180</v>
      </c>
      <c r="B9" s="2" t="s">
        <v>181</v>
      </c>
      <c r="C9" s="2" t="s">
        <v>182</v>
      </c>
      <c r="D9" s="2" t="s">
        <v>183</v>
      </c>
    </row>
    <row r="10" spans="1:11" ht="60" customHeight="1" x14ac:dyDescent="0.35">
      <c r="A10" s="2" t="s">
        <v>184</v>
      </c>
      <c r="B10" s="2" t="s">
        <v>185</v>
      </c>
      <c r="C10" s="2" t="s">
        <v>186</v>
      </c>
      <c r="D10" s="2" t="s">
        <v>187</v>
      </c>
    </row>
    <row r="11" spans="1:11" ht="60" customHeight="1" x14ac:dyDescent="0.35">
      <c r="A11" s="2" t="s">
        <v>188</v>
      </c>
      <c r="B11" s="2" t="s">
        <v>189</v>
      </c>
      <c r="C11" s="2" t="s">
        <v>190</v>
      </c>
      <c r="D11" s="2" t="s">
        <v>191</v>
      </c>
    </row>
    <row r="12" spans="1:11" ht="60" customHeight="1" x14ac:dyDescent="0.35">
      <c r="A12" s="2" t="s">
        <v>192</v>
      </c>
      <c r="B12" s="2" t="s">
        <v>193</v>
      </c>
      <c r="C12" s="2" t="s">
        <v>194</v>
      </c>
      <c r="D12" s="2" t="s">
        <v>191</v>
      </c>
    </row>
    <row r="13" spans="1:11" ht="60" customHeight="1" x14ac:dyDescent="0.35">
      <c r="A13" s="2" t="s">
        <v>195</v>
      </c>
      <c r="B13" s="2" t="s">
        <v>196</v>
      </c>
      <c r="C13" s="2" t="s">
        <v>197</v>
      </c>
      <c r="D13" s="2" t="s">
        <v>187</v>
      </c>
    </row>
    <row r="14" spans="1:11" ht="60" customHeight="1" x14ac:dyDescent="0.35">
      <c r="A14" s="2" t="s">
        <v>198</v>
      </c>
      <c r="B14" s="2" t="s">
        <v>199</v>
      </c>
      <c r="C14" s="2" t="s">
        <v>200</v>
      </c>
      <c r="D14" s="2" t="s">
        <v>201</v>
      </c>
    </row>
    <row r="15" spans="1:11" ht="60" customHeight="1" x14ac:dyDescent="0.35">
      <c r="A15" s="2" t="s">
        <v>202</v>
      </c>
      <c r="B15" s="2" t="s">
        <v>203</v>
      </c>
      <c r="C15" s="2" t="s">
        <v>204</v>
      </c>
      <c r="D15" s="2" t="s">
        <v>205</v>
      </c>
    </row>
    <row r="16" spans="1:11" ht="60" customHeight="1" x14ac:dyDescent="0.35">
      <c r="A16" s="2" t="s">
        <v>206</v>
      </c>
      <c r="B16" s="2" t="s">
        <v>207</v>
      </c>
      <c r="C16" s="2" t="s">
        <v>208</v>
      </c>
      <c r="D16" s="2" t="s">
        <v>209</v>
      </c>
    </row>
    <row r="17" spans="1:4" ht="60" customHeight="1" x14ac:dyDescent="0.35">
      <c r="A17" s="2" t="s">
        <v>210</v>
      </c>
      <c r="B17" s="2" t="s">
        <v>211</v>
      </c>
      <c r="C17" s="2" t="s">
        <v>212</v>
      </c>
      <c r="D17" s="2" t="s">
        <v>213</v>
      </c>
    </row>
    <row r="18" spans="1:4" ht="60" customHeight="1" x14ac:dyDescent="0.35">
      <c r="A18" s="2" t="s">
        <v>214</v>
      </c>
      <c r="B18" s="2" t="s">
        <v>215</v>
      </c>
      <c r="C18" s="2" t="s">
        <v>216</v>
      </c>
      <c r="D18" s="2" t="s">
        <v>217</v>
      </c>
    </row>
    <row r="19" spans="1:4" ht="60" customHeight="1" x14ac:dyDescent="0.35">
      <c r="A19" s="2" t="s">
        <v>218</v>
      </c>
      <c r="B19" s="2" t="s">
        <v>219</v>
      </c>
      <c r="C19" s="2" t="s">
        <v>220</v>
      </c>
      <c r="D19" s="2" t="s">
        <v>217</v>
      </c>
    </row>
    <row r="20" spans="1:4" ht="60" customHeight="1" x14ac:dyDescent="0.35">
      <c r="A20" s="2" t="s">
        <v>221</v>
      </c>
      <c r="B20" s="2" t="s">
        <v>222</v>
      </c>
      <c r="C20" s="2" t="s">
        <v>223</v>
      </c>
      <c r="D20" s="2" t="s">
        <v>224</v>
      </c>
    </row>
    <row r="21" spans="1:4" ht="60" customHeight="1" x14ac:dyDescent="0.35">
      <c r="A21" s="2" t="s">
        <v>225</v>
      </c>
      <c r="B21" s="2" t="s">
        <v>226</v>
      </c>
      <c r="C21" s="2" t="s">
        <v>227</v>
      </c>
      <c r="D21" s="2" t="s">
        <v>228</v>
      </c>
    </row>
    <row r="22" spans="1:4" ht="60" customHeight="1" x14ac:dyDescent="0.35">
      <c r="A22" s="2" t="s">
        <v>229</v>
      </c>
      <c r="B22" s="2" t="s">
        <v>230</v>
      </c>
      <c r="C22" s="2" t="s">
        <v>231</v>
      </c>
      <c r="D22" s="2" t="s">
        <v>232</v>
      </c>
    </row>
    <row r="23" spans="1:4" ht="60" customHeight="1" x14ac:dyDescent="0.35">
      <c r="A23" s="2" t="s">
        <v>233</v>
      </c>
      <c r="B23" s="2" t="s">
        <v>234</v>
      </c>
      <c r="C23" s="2" t="s">
        <v>235</v>
      </c>
      <c r="D23" s="2" t="s">
        <v>236</v>
      </c>
    </row>
    <row r="24" spans="1:4" ht="60" customHeight="1" x14ac:dyDescent="0.35">
      <c r="A24" s="2" t="s">
        <v>237</v>
      </c>
      <c r="B24" s="2" t="s">
        <v>238</v>
      </c>
      <c r="C24" s="2" t="s">
        <v>239</v>
      </c>
      <c r="D24" s="2" t="s">
        <v>240</v>
      </c>
    </row>
  </sheetData>
  <mergeCells count="2">
    <mergeCell ref="A1:K2"/>
    <mergeCell ref="A3:K3"/>
  </mergeCells>
  <pageMargins left="0.7" right="0.7" top="0.75" bottom="0.75" header="0.3" footer="0.3"/>
  <pageSetup paperSize="9" fitToHeight="0" orientation="landscape"/>
  <headerFooter>
    <oddFooter>&amp;LAI-assisted; sources and assumptions disclosed&amp;R&amp;P / &amp;N</oddFooter>
  </headerFooter>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pageSetUpPr fitToPage="1"/>
  </sheetPr>
  <dimension ref="A1:K29"/>
  <sheetViews>
    <sheetView showGridLines="0" zoomScale="90" zoomScaleNormal="90" workbookViewId="0">
      <pane xSplit="1" ySplit="6" topLeftCell="B7" activePane="bottomRight" state="frozen"/>
      <selection pane="topRight" activeCell="B1" sqref="B1"/>
      <selection pane="bottomLeft" activeCell="A7" sqref="A7"/>
      <selection pane="bottomRight"/>
    </sheetView>
  </sheetViews>
  <sheetFormatPr defaultRowHeight="14.5" x14ac:dyDescent="0.35"/>
  <cols>
    <col min="1" max="1" width="40.7265625" customWidth="1"/>
    <col min="2" max="11" width="14.7265625" customWidth="1"/>
  </cols>
  <sheetData>
    <row r="1" spans="1:11" x14ac:dyDescent="0.35">
      <c r="A1" s="9" t="s">
        <v>3</v>
      </c>
      <c r="B1" s="9"/>
      <c r="C1" s="9"/>
      <c r="D1" s="9"/>
      <c r="E1" s="9"/>
      <c r="F1" s="9"/>
      <c r="G1" s="9"/>
      <c r="H1" s="9"/>
      <c r="I1" s="9"/>
      <c r="J1" s="9"/>
      <c r="K1" s="9"/>
    </row>
    <row r="2" spans="1:11" x14ac:dyDescent="0.35">
      <c r="A2" s="9"/>
      <c r="B2" s="9"/>
      <c r="C2" s="9"/>
      <c r="D2" s="9"/>
      <c r="E2" s="9"/>
      <c r="F2" s="9"/>
      <c r="G2" s="9"/>
      <c r="H2" s="9"/>
      <c r="I2" s="9"/>
      <c r="J2" s="9"/>
      <c r="K2" s="9"/>
    </row>
    <row r="3" spans="1:11" x14ac:dyDescent="0.35">
      <c r="A3" s="10" t="s">
        <v>1</v>
      </c>
      <c r="B3" s="10"/>
      <c r="C3" s="10"/>
      <c r="D3" s="10"/>
      <c r="E3" s="10"/>
      <c r="F3" s="10"/>
      <c r="G3" s="10"/>
      <c r="H3" s="10"/>
      <c r="I3" s="10"/>
      <c r="J3" s="10"/>
      <c r="K3" s="10"/>
    </row>
    <row r="5" spans="1:11" ht="24" customHeight="1" x14ac:dyDescent="0.35">
      <c r="A5" s="11" t="s">
        <v>86</v>
      </c>
      <c r="B5" s="11"/>
      <c r="C5" s="11"/>
      <c r="D5" s="11"/>
      <c r="E5" s="11"/>
      <c r="F5" s="11"/>
      <c r="G5" s="11"/>
      <c r="H5" s="11"/>
      <c r="I5" s="11"/>
      <c r="J5" s="11"/>
      <c r="K5" s="11"/>
    </row>
    <row r="6" spans="1:11" x14ac:dyDescent="0.35">
      <c r="B6" s="1" t="s">
        <v>76</v>
      </c>
      <c r="C6" s="1" t="s">
        <v>77</v>
      </c>
      <c r="D6" s="1" t="s">
        <v>78</v>
      </c>
      <c r="E6" s="1" t="s">
        <v>79</v>
      </c>
      <c r="F6" s="1" t="s">
        <v>80</v>
      </c>
      <c r="G6" s="1" t="s">
        <v>81</v>
      </c>
      <c r="H6" s="1" t="s">
        <v>82</v>
      </c>
      <c r="I6" s="1" t="s">
        <v>83</v>
      </c>
      <c r="J6" s="1" t="s">
        <v>84</v>
      </c>
      <c r="K6" s="1" t="s">
        <v>85</v>
      </c>
    </row>
    <row r="7" spans="1:11" x14ac:dyDescent="0.35">
      <c r="A7" s="2" t="s">
        <v>87</v>
      </c>
      <c r="B7" s="5">
        <f t="shared" ref="B7:K7" si="0">B9-B8</f>
        <v>6059.3353999999999</v>
      </c>
      <c r="C7" s="5">
        <f t="shared" si="0"/>
        <v>9333.6955240000007</v>
      </c>
      <c r="D7" s="5">
        <f t="shared" si="0"/>
        <v>12200.11725544</v>
      </c>
      <c r="E7" s="5">
        <f t="shared" si="0"/>
        <v>14931.004290766399</v>
      </c>
      <c r="F7" s="5">
        <f t="shared" si="0"/>
        <v>17198.59594821238</v>
      </c>
      <c r="G7" s="5">
        <f t="shared" si="0"/>
        <v>19285.463275623002</v>
      </c>
      <c r="H7" s="5">
        <f t="shared" si="0"/>
        <v>21038.431830647925</v>
      </c>
      <c r="I7" s="5">
        <f t="shared" si="0"/>
        <v>22525.496406495364</v>
      </c>
      <c r="J7" s="5">
        <f t="shared" si="0"/>
        <v>23659.174015886707</v>
      </c>
      <c r="K7" s="5">
        <f t="shared" si="0"/>
        <v>24368.949236363307</v>
      </c>
    </row>
    <row r="8" spans="1:11" x14ac:dyDescent="0.35">
      <c r="A8" s="2" t="s">
        <v>88</v>
      </c>
      <c r="B8" s="5">
        <f>$B$23*(1+B17)</f>
        <v>260.66460000000001</v>
      </c>
      <c r="C8" s="5">
        <f t="shared" ref="C8:K8" si="1">B8*(1+C17)</f>
        <v>276.30447600000002</v>
      </c>
      <c r="D8" s="5">
        <f t="shared" si="1"/>
        <v>292.88274455999999</v>
      </c>
      <c r="E8" s="5">
        <f t="shared" si="1"/>
        <v>310.45570923360009</v>
      </c>
      <c r="F8" s="5">
        <f t="shared" si="1"/>
        <v>329.08305178761606</v>
      </c>
      <c r="G8" s="5">
        <f t="shared" si="1"/>
        <v>345.5372043769969</v>
      </c>
      <c r="H8" s="5">
        <f t="shared" si="1"/>
        <v>359.35869255207677</v>
      </c>
      <c r="I8" s="5">
        <f t="shared" si="1"/>
        <v>370.13945332863909</v>
      </c>
      <c r="J8" s="5">
        <f t="shared" si="1"/>
        <v>381.24363692849829</v>
      </c>
      <c r="K8" s="5">
        <f t="shared" si="1"/>
        <v>392.68094603635325</v>
      </c>
    </row>
    <row r="9" spans="1:11" x14ac:dyDescent="0.35">
      <c r="A9" s="2" t="s">
        <v>89</v>
      </c>
      <c r="B9" s="6">
        <v>6320</v>
      </c>
      <c r="C9" s="6">
        <v>9610</v>
      </c>
      <c r="D9" s="5">
        <f t="shared" ref="D9:K9" si="2">C9*(1+D18)</f>
        <v>12493</v>
      </c>
      <c r="E9" s="5">
        <f t="shared" si="2"/>
        <v>15241.46</v>
      </c>
      <c r="F9" s="5">
        <f t="shared" si="2"/>
        <v>17527.678999999996</v>
      </c>
      <c r="G9" s="5">
        <f t="shared" si="2"/>
        <v>19631.000479999999</v>
      </c>
      <c r="H9" s="5">
        <f t="shared" si="2"/>
        <v>21397.790523200001</v>
      </c>
      <c r="I9" s="5">
        <f t="shared" si="2"/>
        <v>22895.635859824004</v>
      </c>
      <c r="J9" s="5">
        <f t="shared" si="2"/>
        <v>24040.417652815206</v>
      </c>
      <c r="K9" s="5">
        <f t="shared" si="2"/>
        <v>24761.630182399662</v>
      </c>
    </row>
    <row r="10" spans="1:11" x14ac:dyDescent="0.35">
      <c r="A10" s="2" t="s">
        <v>90</v>
      </c>
      <c r="B10" s="7">
        <v>0.01</v>
      </c>
      <c r="C10" s="7">
        <v>1.4999999999999999E-2</v>
      </c>
      <c r="D10" s="7">
        <v>0.02</v>
      </c>
      <c r="E10" s="7">
        <v>2.5000000000000001E-2</v>
      </c>
      <c r="F10" s="7">
        <v>0.03</v>
      </c>
      <c r="G10" s="7">
        <v>0.03</v>
      </c>
      <c r="H10" s="7">
        <v>2.5000000000000001E-2</v>
      </c>
      <c r="I10" s="7">
        <v>0.02</v>
      </c>
      <c r="J10" s="7">
        <v>1.4999999999999999E-2</v>
      </c>
      <c r="K10" s="7">
        <v>0.01</v>
      </c>
    </row>
    <row r="11" spans="1:11" x14ac:dyDescent="0.35">
      <c r="A11" s="2" t="s">
        <v>91</v>
      </c>
      <c r="B11" s="7">
        <v>0.02</v>
      </c>
      <c r="C11" s="7">
        <v>0.03</v>
      </c>
      <c r="D11" s="7">
        <v>0.04</v>
      </c>
      <c r="E11" s="7">
        <v>4.4999999999999998E-2</v>
      </c>
      <c r="F11" s="7">
        <v>0.05</v>
      </c>
      <c r="G11" s="7">
        <v>0.05</v>
      </c>
      <c r="H11" s="7">
        <v>4.4999999999999998E-2</v>
      </c>
      <c r="I11" s="7">
        <v>0.04</v>
      </c>
      <c r="J11" s="7">
        <v>3.5000000000000003E-2</v>
      </c>
      <c r="K11" s="7">
        <v>0.03</v>
      </c>
    </row>
    <row r="12" spans="1:11" x14ac:dyDescent="0.35">
      <c r="A12" s="2" t="s">
        <v>92</v>
      </c>
      <c r="B12" s="6">
        <v>150</v>
      </c>
      <c r="C12" s="6">
        <v>300</v>
      </c>
      <c r="D12" s="6">
        <v>550</v>
      </c>
      <c r="E12" s="6">
        <v>800</v>
      </c>
      <c r="F12" s="6">
        <v>1100</v>
      </c>
      <c r="G12" s="6">
        <v>1250</v>
      </c>
      <c r="H12" s="6">
        <v>1350</v>
      </c>
      <c r="I12" s="6">
        <v>1400</v>
      </c>
      <c r="J12" s="6">
        <v>1442</v>
      </c>
      <c r="K12" s="6">
        <v>1485.26</v>
      </c>
    </row>
    <row r="13" spans="1:11" x14ac:dyDescent="0.35">
      <c r="A13" s="2" t="s">
        <v>93</v>
      </c>
      <c r="B13" s="7">
        <v>5.0000000000000001E-3</v>
      </c>
      <c r="C13" s="7">
        <v>0.01</v>
      </c>
      <c r="D13" s="7">
        <v>1.4999999999999999E-2</v>
      </c>
      <c r="E13" s="7">
        <v>1.4999999999999999E-2</v>
      </c>
      <c r="F13" s="7">
        <v>1.4999999999999999E-2</v>
      </c>
      <c r="G13" s="7">
        <v>0.01</v>
      </c>
      <c r="H13" s="7">
        <v>7.4999999999999997E-3</v>
      </c>
      <c r="I13" s="7">
        <v>5.0000000000000001E-3</v>
      </c>
      <c r="J13" s="7">
        <v>2.5000000000000001E-3</v>
      </c>
      <c r="K13" s="7">
        <v>0</v>
      </c>
    </row>
    <row r="14" spans="1:11" x14ac:dyDescent="0.35">
      <c r="A14" s="2" t="s">
        <v>94</v>
      </c>
      <c r="B14" s="5">
        <f t="shared" ref="B14:K14" si="3">B7*(1+B10+B11)+B12</f>
        <v>6391.1154619999998</v>
      </c>
      <c r="C14" s="5">
        <f t="shared" si="3"/>
        <v>10053.71182258</v>
      </c>
      <c r="D14" s="5">
        <f t="shared" si="3"/>
        <v>13482.1242907664</v>
      </c>
      <c r="E14" s="5">
        <f t="shared" si="3"/>
        <v>16776.174591120045</v>
      </c>
      <c r="F14" s="5">
        <f t="shared" si="3"/>
        <v>19674.483624069373</v>
      </c>
      <c r="G14" s="5">
        <f t="shared" si="3"/>
        <v>22078.300337672845</v>
      </c>
      <c r="H14" s="5">
        <f t="shared" si="3"/>
        <v>23861.122058793277</v>
      </c>
      <c r="I14" s="5">
        <f t="shared" si="3"/>
        <v>25277.026190885088</v>
      </c>
      <c r="J14" s="5">
        <f t="shared" si="3"/>
        <v>26284.132716681037</v>
      </c>
      <c r="K14" s="5">
        <f t="shared" si="3"/>
        <v>26828.96720581784</v>
      </c>
    </row>
    <row r="15" spans="1:11" x14ac:dyDescent="0.35">
      <c r="A15" s="2" t="s">
        <v>95</v>
      </c>
      <c r="B15" s="5">
        <f t="shared" ref="B15:K15" si="4">B8</f>
        <v>260.66460000000001</v>
      </c>
      <c r="C15" s="5">
        <f t="shared" si="4"/>
        <v>276.30447600000002</v>
      </c>
      <c r="D15" s="5">
        <f t="shared" si="4"/>
        <v>292.88274455999999</v>
      </c>
      <c r="E15" s="5">
        <f t="shared" si="4"/>
        <v>310.45570923360009</v>
      </c>
      <c r="F15" s="5">
        <f t="shared" si="4"/>
        <v>329.08305178761606</v>
      </c>
      <c r="G15" s="5">
        <f t="shared" si="4"/>
        <v>345.5372043769969</v>
      </c>
      <c r="H15" s="5">
        <f t="shared" si="4"/>
        <v>359.35869255207677</v>
      </c>
      <c r="I15" s="5">
        <f t="shared" si="4"/>
        <v>370.13945332863909</v>
      </c>
      <c r="J15" s="5">
        <f t="shared" si="4"/>
        <v>381.24363692849829</v>
      </c>
      <c r="K15" s="5">
        <f t="shared" si="4"/>
        <v>392.68094603635325</v>
      </c>
    </row>
    <row r="16" spans="1:11" x14ac:dyDescent="0.35">
      <c r="A16" s="2" t="s">
        <v>96</v>
      </c>
      <c r="B16" s="8">
        <f t="shared" ref="B16:K16" si="5">B14+B15</f>
        <v>6651.7800619999998</v>
      </c>
      <c r="C16" s="8">
        <f t="shared" si="5"/>
        <v>10330.01629858</v>
      </c>
      <c r="D16" s="8">
        <f t="shared" si="5"/>
        <v>13775.0070353264</v>
      </c>
      <c r="E16" s="8">
        <f t="shared" si="5"/>
        <v>17086.630300353645</v>
      </c>
      <c r="F16" s="8">
        <f t="shared" si="5"/>
        <v>20003.56667585699</v>
      </c>
      <c r="G16" s="8">
        <f t="shared" si="5"/>
        <v>22423.837542049841</v>
      </c>
      <c r="H16" s="8">
        <f t="shared" si="5"/>
        <v>24220.480751345352</v>
      </c>
      <c r="I16" s="8">
        <f t="shared" si="5"/>
        <v>25647.165644213728</v>
      </c>
      <c r="J16" s="8">
        <f t="shared" si="5"/>
        <v>26665.376353609536</v>
      </c>
      <c r="K16" s="8">
        <f t="shared" si="5"/>
        <v>27221.648151854195</v>
      </c>
    </row>
    <row r="17" spans="1:11" x14ac:dyDescent="0.35">
      <c r="A17" s="2" t="s">
        <v>97</v>
      </c>
      <c r="B17" s="7">
        <v>6.0000000000000053E-2</v>
      </c>
      <c r="C17" s="7">
        <v>6.0000000000000053E-2</v>
      </c>
      <c r="D17" s="7">
        <v>5.9999999999999831E-2</v>
      </c>
      <c r="E17" s="7">
        <v>6.0000000000000282E-2</v>
      </c>
      <c r="F17" s="7">
        <v>5.9999999999999831E-2</v>
      </c>
      <c r="G17" s="7">
        <v>5.0000000000000037E-2</v>
      </c>
      <c r="H17" s="7">
        <v>4.0000000000000042E-2</v>
      </c>
      <c r="I17" s="7">
        <v>3.000000000000003E-2</v>
      </c>
      <c r="J17" s="7">
        <v>3.000000000000003E-2</v>
      </c>
      <c r="K17" s="7">
        <v>3.000000000000003E-2</v>
      </c>
    </row>
    <row r="18" spans="1:11" x14ac:dyDescent="0.35">
      <c r="A18" s="2" t="s">
        <v>98</v>
      </c>
      <c r="B18" s="4">
        <f>B9/$B$24-1</f>
        <v>1.0968812209688124</v>
      </c>
      <c r="C18" s="4">
        <f>C9/B9-1</f>
        <v>0.52056962025316467</v>
      </c>
      <c r="D18" s="7">
        <v>0.3</v>
      </c>
      <c r="E18" s="7">
        <v>0.22</v>
      </c>
      <c r="F18" s="7">
        <v>0.14999999999999991</v>
      </c>
      <c r="G18" s="7">
        <v>0.12000000000000011</v>
      </c>
      <c r="H18" s="7">
        <v>9.000000000000008E-2</v>
      </c>
      <c r="I18" s="7">
        <v>7.0000000000000062E-2</v>
      </c>
      <c r="J18" s="7">
        <v>5.0000000000000037E-2</v>
      </c>
      <c r="K18" s="7">
        <v>3.000000000000003E-2</v>
      </c>
    </row>
    <row r="21" spans="1:11" x14ac:dyDescent="0.35">
      <c r="A21" s="2" t="s">
        <v>99</v>
      </c>
      <c r="B21" s="6">
        <v>234.2</v>
      </c>
    </row>
    <row r="22" spans="1:11" x14ac:dyDescent="0.35">
      <c r="A22" s="2" t="s">
        <v>100</v>
      </c>
      <c r="B22" s="7">
        <v>0.05</v>
      </c>
    </row>
    <row r="23" spans="1:11" x14ac:dyDescent="0.35">
      <c r="A23" s="2" t="s">
        <v>102</v>
      </c>
      <c r="B23" s="5">
        <f>B21*(1+B22)</f>
        <v>245.91</v>
      </c>
    </row>
    <row r="24" spans="1:11" x14ac:dyDescent="0.35">
      <c r="A24" s="2" t="s">
        <v>101</v>
      </c>
      <c r="B24" s="6">
        <v>3014</v>
      </c>
    </row>
    <row r="25" spans="1:11" x14ac:dyDescent="0.35">
      <c r="A25" s="2" t="s">
        <v>103</v>
      </c>
      <c r="B25" s="5">
        <f>B24-B23</f>
        <v>2768.09</v>
      </c>
    </row>
    <row r="27" spans="1:11" ht="58" customHeight="1" x14ac:dyDescent="0.35">
      <c r="A27" s="12" t="s">
        <v>104</v>
      </c>
      <c r="B27" s="12"/>
      <c r="C27" s="12"/>
      <c r="D27" s="12"/>
      <c r="E27" s="12"/>
      <c r="F27" s="12"/>
      <c r="G27" s="12"/>
      <c r="H27" s="12"/>
      <c r="I27" s="12"/>
      <c r="J27" s="12"/>
      <c r="K27" s="12"/>
    </row>
    <row r="29" spans="1:11" ht="52" customHeight="1" x14ac:dyDescent="0.35">
      <c r="A29" s="10" t="s">
        <v>105</v>
      </c>
      <c r="B29" s="10"/>
      <c r="C29" s="10"/>
      <c r="D29" s="10"/>
      <c r="E29" s="10"/>
      <c r="F29" s="10"/>
      <c r="G29" s="10"/>
      <c r="H29" s="10"/>
      <c r="I29" s="10"/>
      <c r="J29" s="10"/>
      <c r="K29" s="10"/>
    </row>
  </sheetData>
  <mergeCells count="5">
    <mergeCell ref="A1:K2"/>
    <mergeCell ref="A3:K3"/>
    <mergeCell ref="A5:K5"/>
    <mergeCell ref="A27:K27"/>
    <mergeCell ref="A29:K29"/>
  </mergeCells>
  <pageMargins left="0.7" right="0.7" top="0.75" bottom="0.75" header="0.3" footer="0.3"/>
  <pageSetup paperSize="9" fitToHeight="0" orientation="landscape"/>
  <headerFooter>
    <oddFooter>&amp;LAI-assisted; sources and assumptions disclosed&amp;R&amp;P / &amp;N</oddFooter>
  </headerFooter>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pageSetUpPr fitToPage="1"/>
  </sheetPr>
  <dimension ref="A1:K75"/>
  <sheetViews>
    <sheetView showGridLines="0" zoomScale="90" zoomScaleNormal="90" workbookViewId="0">
      <pane xSplit="1" ySplit="6" topLeftCell="B7" activePane="bottomRight" state="frozen"/>
      <selection pane="topRight" activeCell="B1" sqref="B1"/>
      <selection pane="bottomLeft" activeCell="A7" sqref="A7"/>
      <selection pane="bottomRight"/>
    </sheetView>
  </sheetViews>
  <sheetFormatPr defaultRowHeight="14.5" x14ac:dyDescent="0.35"/>
  <cols>
    <col min="1" max="1" width="40.7265625" customWidth="1"/>
    <col min="2" max="11" width="14.7265625" customWidth="1"/>
  </cols>
  <sheetData>
    <row r="1" spans="1:11" x14ac:dyDescent="0.35">
      <c r="A1" s="9" t="s">
        <v>4</v>
      </c>
      <c r="B1" s="9"/>
      <c r="C1" s="9"/>
      <c r="D1" s="9"/>
      <c r="E1" s="9"/>
      <c r="F1" s="9"/>
      <c r="G1" s="9"/>
      <c r="H1" s="9"/>
      <c r="I1" s="9"/>
      <c r="J1" s="9"/>
      <c r="K1" s="9"/>
    </row>
    <row r="2" spans="1:11" x14ac:dyDescent="0.35">
      <c r="A2" s="9"/>
      <c r="B2" s="9"/>
      <c r="C2" s="9"/>
      <c r="D2" s="9"/>
      <c r="E2" s="9"/>
      <c r="F2" s="9"/>
      <c r="G2" s="9"/>
      <c r="H2" s="9"/>
      <c r="I2" s="9"/>
      <c r="J2" s="9"/>
      <c r="K2" s="9"/>
    </row>
    <row r="3" spans="1:11" x14ac:dyDescent="0.35">
      <c r="A3" s="10" t="s">
        <v>1</v>
      </c>
      <c r="B3" s="10"/>
      <c r="C3" s="10"/>
      <c r="D3" s="10"/>
      <c r="E3" s="10"/>
      <c r="F3" s="10"/>
      <c r="G3" s="10"/>
      <c r="H3" s="10"/>
      <c r="I3" s="10"/>
      <c r="J3" s="10"/>
      <c r="K3" s="10"/>
    </row>
    <row r="5" spans="1:11" ht="24" customHeight="1" x14ac:dyDescent="0.35">
      <c r="A5" s="11" t="s">
        <v>106</v>
      </c>
      <c r="B5" s="11"/>
      <c r="C5" s="11"/>
      <c r="D5" s="11"/>
      <c r="E5" s="11"/>
      <c r="F5" s="11"/>
      <c r="G5" s="11"/>
      <c r="H5" s="11"/>
      <c r="I5" s="11"/>
      <c r="J5" s="11"/>
      <c r="K5" s="11"/>
    </row>
    <row r="6" spans="1:11" x14ac:dyDescent="0.35">
      <c r="B6" s="1" t="s">
        <v>76</v>
      </c>
      <c r="C6" s="1" t="s">
        <v>77</v>
      </c>
      <c r="D6" s="1" t="s">
        <v>78</v>
      </c>
      <c r="E6" s="1" t="s">
        <v>79</v>
      </c>
      <c r="F6" s="1" t="s">
        <v>80</v>
      </c>
      <c r="G6" s="1" t="s">
        <v>81</v>
      </c>
      <c r="H6" s="1" t="s">
        <v>82</v>
      </c>
      <c r="I6" s="1" t="s">
        <v>83</v>
      </c>
      <c r="J6" s="1" t="s">
        <v>84</v>
      </c>
      <c r="K6" s="1" t="s">
        <v>85</v>
      </c>
    </row>
    <row r="8" spans="1:11" x14ac:dyDescent="0.35">
      <c r="A8" s="2" t="s">
        <v>107</v>
      </c>
      <c r="B8" s="7">
        <v>1.3088539252697711</v>
      </c>
      <c r="C8" s="7">
        <v>0.57307623095794424</v>
      </c>
      <c r="D8" s="7">
        <v>0.34100962198721502</v>
      </c>
      <c r="E8" s="7">
        <v>0.24432724616028539</v>
      </c>
      <c r="F8" s="7">
        <v>0.17276340426758899</v>
      </c>
      <c r="G8" s="7">
        <v>0.12217940554550009</v>
      </c>
      <c r="H8" s="7">
        <v>8.0749953295922383E-2</v>
      </c>
      <c r="I8" s="7">
        <v>5.9339377611960398E-2</v>
      </c>
      <c r="J8" s="7">
        <v>3.9842761493799062E-2</v>
      </c>
      <c r="K8" s="7">
        <v>2.0728646252460511E-2</v>
      </c>
    </row>
    <row r="9" spans="1:11" x14ac:dyDescent="0.35">
      <c r="A9" s="2" t="s">
        <v>108</v>
      </c>
      <c r="B9" s="7">
        <v>6.0000000000000053E-2</v>
      </c>
      <c r="C9" s="7">
        <v>6.0000000000000053E-2</v>
      </c>
      <c r="D9" s="7">
        <v>5.9999999999999831E-2</v>
      </c>
      <c r="E9" s="7">
        <v>6.0000000000000282E-2</v>
      </c>
      <c r="F9" s="7">
        <v>5.9999999999999831E-2</v>
      </c>
      <c r="G9" s="7">
        <v>5.0000000000000037E-2</v>
      </c>
      <c r="H9" s="7">
        <v>4.0000000000000042E-2</v>
      </c>
      <c r="I9" s="7">
        <v>3.000000000000003E-2</v>
      </c>
      <c r="J9" s="7">
        <v>3.000000000000003E-2</v>
      </c>
      <c r="K9" s="7">
        <v>3.000000000000003E-2</v>
      </c>
    </row>
    <row r="10" spans="1:11" x14ac:dyDescent="0.35">
      <c r="A10" s="2" t="s">
        <v>109</v>
      </c>
      <c r="B10" s="4">
        <f>Base!B10+Segments!B13</f>
        <v>0.40750000000000003</v>
      </c>
      <c r="C10" s="4">
        <f>Base!C10+Segments!C13</f>
        <v>0.42499999999999999</v>
      </c>
      <c r="D10" s="4">
        <f>Base!D10+Segments!D13</f>
        <v>0.42499999999999999</v>
      </c>
      <c r="E10" s="4">
        <f>Base!E10+Segments!E13</f>
        <v>0.41500000000000004</v>
      </c>
      <c r="F10" s="4">
        <f>Base!F10+Segments!F13</f>
        <v>0.39500000000000002</v>
      </c>
      <c r="G10" s="4">
        <f>Base!G10+Segments!G13</f>
        <v>0.36</v>
      </c>
      <c r="H10" s="4">
        <f>Base!H10+Segments!H13</f>
        <v>0.32750000000000001</v>
      </c>
      <c r="I10" s="4">
        <f>Base!I10+Segments!I13</f>
        <v>0.3</v>
      </c>
      <c r="J10" s="4">
        <f>Base!J10+Segments!J13</f>
        <v>0.27250000000000002</v>
      </c>
      <c r="K10" s="4">
        <f>Base!K10+Segments!K13</f>
        <v>0.25</v>
      </c>
    </row>
    <row r="11" spans="1:11" x14ac:dyDescent="0.35">
      <c r="A11" s="2" t="s">
        <v>110</v>
      </c>
      <c r="B11" s="7">
        <v>4.4999999999999998E-2</v>
      </c>
      <c r="C11" s="7">
        <v>4.4999999999999998E-2</v>
      </c>
      <c r="D11" s="7">
        <v>4.4999999999999998E-2</v>
      </c>
      <c r="E11" s="7">
        <v>4.4999999999999998E-2</v>
      </c>
      <c r="F11" s="7">
        <v>4.4999999999999998E-2</v>
      </c>
      <c r="G11" s="7">
        <v>4.4999999999999998E-2</v>
      </c>
      <c r="H11" s="7">
        <v>4.4999999999999998E-2</v>
      </c>
      <c r="I11" s="7">
        <v>4.4999999999999998E-2</v>
      </c>
      <c r="J11" s="7">
        <v>4.4999999999999998E-2</v>
      </c>
      <c r="K11" s="7">
        <v>4.4999999999999998E-2</v>
      </c>
    </row>
    <row r="12" spans="1:11" x14ac:dyDescent="0.35">
      <c r="A12" s="2" t="s">
        <v>111</v>
      </c>
      <c r="B12" s="4">
        <f>WACC!$B$19</f>
        <v>0.2</v>
      </c>
      <c r="C12" s="4">
        <f>WACC!$B$19</f>
        <v>0.2</v>
      </c>
      <c r="D12" s="4">
        <f>WACC!$B$19</f>
        <v>0.2</v>
      </c>
      <c r="E12" s="4">
        <f>WACC!$B$19</f>
        <v>0.2</v>
      </c>
      <c r="F12" s="4">
        <f>WACC!$B$19</f>
        <v>0.2</v>
      </c>
      <c r="G12" s="4">
        <f>WACC!$B$19</f>
        <v>0.2</v>
      </c>
      <c r="H12" s="4">
        <f>WACC!$B$19</f>
        <v>0.2</v>
      </c>
      <c r="I12" s="4">
        <f>WACC!$B$19</f>
        <v>0.2</v>
      </c>
      <c r="J12" s="4">
        <f>WACC!$B$19</f>
        <v>0.2</v>
      </c>
      <c r="K12" s="4">
        <f>WACC!$B$19</f>
        <v>0.2</v>
      </c>
    </row>
    <row r="13" spans="1:11" x14ac:dyDescent="0.35">
      <c r="A13" s="2" t="s">
        <v>112</v>
      </c>
      <c r="B13" s="7">
        <v>0.04</v>
      </c>
      <c r="C13" s="7">
        <v>4.4999999999999998E-2</v>
      </c>
      <c r="D13" s="7">
        <v>0.05</v>
      </c>
      <c r="E13" s="7">
        <v>5.5E-2</v>
      </c>
      <c r="F13" s="7">
        <v>5.5E-2</v>
      </c>
      <c r="G13" s="7">
        <v>5.5E-2</v>
      </c>
      <c r="H13" s="7">
        <v>5.5E-2</v>
      </c>
      <c r="I13" s="7">
        <v>5.5E-2</v>
      </c>
      <c r="J13" s="7">
        <v>5.5E-2</v>
      </c>
      <c r="K13" s="7">
        <v>5.5E-2</v>
      </c>
    </row>
    <row r="14" spans="1:11" x14ac:dyDescent="0.35">
      <c r="A14" s="2" t="s">
        <v>113</v>
      </c>
      <c r="B14" s="7">
        <v>0.13</v>
      </c>
      <c r="C14" s="7">
        <v>0.11</v>
      </c>
      <c r="D14" s="7">
        <v>9.5000000000000001E-2</v>
      </c>
      <c r="E14" s="7">
        <v>0.08</v>
      </c>
      <c r="F14" s="7">
        <v>7.4999999999999997E-2</v>
      </c>
      <c r="G14" s="7">
        <v>7.0000000000000007E-2</v>
      </c>
      <c r="H14" s="7">
        <v>6.5000000000000002E-2</v>
      </c>
      <c r="I14" s="7">
        <v>0.06</v>
      </c>
      <c r="J14" s="7">
        <v>0.06</v>
      </c>
      <c r="K14" s="7">
        <v>0.06</v>
      </c>
    </row>
    <row r="15" spans="1:11" x14ac:dyDescent="0.35">
      <c r="A15" s="2" t="s">
        <v>114</v>
      </c>
      <c r="B15" s="7">
        <v>0.18</v>
      </c>
      <c r="C15" s="7">
        <v>0.18</v>
      </c>
      <c r="D15" s="7">
        <v>0.18</v>
      </c>
      <c r="E15" s="7">
        <v>0.18</v>
      </c>
      <c r="F15" s="7">
        <v>0.18</v>
      </c>
      <c r="G15" s="7">
        <v>0.18</v>
      </c>
      <c r="H15" s="7">
        <v>0.18</v>
      </c>
      <c r="I15" s="7">
        <v>0.18</v>
      </c>
      <c r="J15" s="7">
        <v>0.18</v>
      </c>
      <c r="K15" s="7">
        <v>0.18</v>
      </c>
    </row>
    <row r="18" spans="1:11" x14ac:dyDescent="0.35">
      <c r="A18" s="2" t="s">
        <v>115</v>
      </c>
      <c r="B18" s="5">
        <f>Segments!B14</f>
        <v>6391.1154619999998</v>
      </c>
      <c r="C18" s="5">
        <f>Segments!C14</f>
        <v>10053.71182258</v>
      </c>
      <c r="D18" s="5">
        <f>Segments!D14</f>
        <v>13482.1242907664</v>
      </c>
      <c r="E18" s="5">
        <f>Segments!E14</f>
        <v>16776.174591120045</v>
      </c>
      <c r="F18" s="5">
        <f>Segments!F14</f>
        <v>19674.483624069373</v>
      </c>
      <c r="G18" s="5">
        <f>Segments!G14</f>
        <v>22078.300337672845</v>
      </c>
      <c r="H18" s="5">
        <f>Segments!H14</f>
        <v>23861.122058793277</v>
      </c>
      <c r="I18" s="5">
        <f>Segments!I14</f>
        <v>25277.026190885088</v>
      </c>
      <c r="J18" s="5">
        <f>Segments!J14</f>
        <v>26284.132716681037</v>
      </c>
      <c r="K18" s="5">
        <f>Segments!K14</f>
        <v>26828.96720581784</v>
      </c>
    </row>
    <row r="19" spans="1:11" x14ac:dyDescent="0.35">
      <c r="A19" s="2" t="s">
        <v>116</v>
      </c>
      <c r="B19" s="5">
        <f>Segments!B15</f>
        <v>260.66460000000001</v>
      </c>
      <c r="C19" s="5">
        <f>Segments!C15</f>
        <v>276.30447600000002</v>
      </c>
      <c r="D19" s="5">
        <f>Segments!D15</f>
        <v>292.88274455999999</v>
      </c>
      <c r="E19" s="5">
        <f>Segments!E15</f>
        <v>310.45570923360009</v>
      </c>
      <c r="F19" s="5">
        <f>Segments!F15</f>
        <v>329.08305178761606</v>
      </c>
      <c r="G19" s="5">
        <f>Segments!G15</f>
        <v>345.5372043769969</v>
      </c>
      <c r="H19" s="5">
        <f>Segments!H15</f>
        <v>359.35869255207677</v>
      </c>
      <c r="I19" s="5">
        <f>Segments!I15</f>
        <v>370.13945332863909</v>
      </c>
      <c r="J19" s="5">
        <f>Segments!J15</f>
        <v>381.24363692849829</v>
      </c>
      <c r="K19" s="5">
        <f>Segments!K15</f>
        <v>392.68094603635325</v>
      </c>
    </row>
    <row r="20" spans="1:11" x14ac:dyDescent="0.35">
      <c r="A20" s="2" t="s">
        <v>117</v>
      </c>
      <c r="B20" s="8">
        <f t="shared" ref="B20:K20" si="0">B18+B19</f>
        <v>6651.7800619999998</v>
      </c>
      <c r="C20" s="8">
        <f t="shared" si="0"/>
        <v>10330.01629858</v>
      </c>
      <c r="D20" s="8">
        <f t="shared" si="0"/>
        <v>13775.0070353264</v>
      </c>
      <c r="E20" s="8">
        <f t="shared" si="0"/>
        <v>17086.630300353645</v>
      </c>
      <c r="F20" s="8">
        <f t="shared" si="0"/>
        <v>20003.56667585699</v>
      </c>
      <c r="G20" s="8">
        <f t="shared" si="0"/>
        <v>22423.837542049841</v>
      </c>
      <c r="H20" s="8">
        <f t="shared" si="0"/>
        <v>24220.480751345352</v>
      </c>
      <c r="I20" s="8">
        <f t="shared" si="0"/>
        <v>25647.165644213728</v>
      </c>
      <c r="J20" s="8">
        <f t="shared" si="0"/>
        <v>26665.376353609536</v>
      </c>
      <c r="K20" s="8">
        <f t="shared" si="0"/>
        <v>27221.648151854195</v>
      </c>
    </row>
    <row r="21" spans="1:11" x14ac:dyDescent="0.35">
      <c r="A21" s="2" t="s">
        <v>118</v>
      </c>
      <c r="B21" s="4">
        <f>B20/Segments!$B$24-1</f>
        <v>1.2069608699402785</v>
      </c>
      <c r="C21" s="4">
        <f t="shared" ref="C21:K21" si="1">C20/B20-1</f>
        <v>0.55297021282962566</v>
      </c>
      <c r="D21" s="4">
        <f t="shared" si="1"/>
        <v>0.33349325278605435</v>
      </c>
      <c r="E21" s="4">
        <f t="shared" si="1"/>
        <v>0.24040809972252597</v>
      </c>
      <c r="F21" s="4">
        <f t="shared" si="1"/>
        <v>0.17071454840589451</v>
      </c>
      <c r="G21" s="4">
        <f t="shared" si="1"/>
        <v>0.1209919663533785</v>
      </c>
      <c r="H21" s="4">
        <f t="shared" si="1"/>
        <v>8.0122022197422371E-2</v>
      </c>
      <c r="I21" s="4">
        <f t="shared" si="1"/>
        <v>5.8904069969343054E-2</v>
      </c>
      <c r="J21" s="4">
        <f t="shared" si="1"/>
        <v>3.9700710929261085E-2</v>
      </c>
      <c r="K21" s="4">
        <f t="shared" si="1"/>
        <v>2.0861201839716736E-2</v>
      </c>
    </row>
    <row r="23" spans="1:11" x14ac:dyDescent="0.35">
      <c r="A23" s="2" t="s">
        <v>119</v>
      </c>
      <c r="B23" s="5">
        <f t="shared" ref="B23:K23" si="2">B20*B10</f>
        <v>2710.6003752649999</v>
      </c>
      <c r="C23" s="5">
        <f t="shared" si="2"/>
        <v>4390.2569268964999</v>
      </c>
      <c r="D23" s="5">
        <f t="shared" si="2"/>
        <v>5854.3779900137197</v>
      </c>
      <c r="E23" s="5">
        <f t="shared" si="2"/>
        <v>7090.9515746467632</v>
      </c>
      <c r="F23" s="5">
        <f t="shared" si="2"/>
        <v>7901.408836963511</v>
      </c>
      <c r="G23" s="5">
        <f t="shared" si="2"/>
        <v>8072.5815151379429</v>
      </c>
      <c r="H23" s="5">
        <f t="shared" si="2"/>
        <v>7932.2074460656031</v>
      </c>
      <c r="I23" s="5">
        <f t="shared" si="2"/>
        <v>7694.1496932641185</v>
      </c>
      <c r="J23" s="5">
        <f t="shared" si="2"/>
        <v>7266.3150563585987</v>
      </c>
      <c r="K23" s="5">
        <f t="shared" si="2"/>
        <v>6805.4120379635488</v>
      </c>
    </row>
    <row r="24" spans="1:11" x14ac:dyDescent="0.35">
      <c r="A24" s="2" t="s">
        <v>120</v>
      </c>
      <c r="B24" s="5">
        <f t="shared" ref="B24:K24" si="3">B20*B11</f>
        <v>299.33010278999996</v>
      </c>
      <c r="C24" s="5">
        <f t="shared" si="3"/>
        <v>464.85073343609997</v>
      </c>
      <c r="D24" s="5">
        <f t="shared" si="3"/>
        <v>619.87531658968794</v>
      </c>
      <c r="E24" s="5">
        <f t="shared" si="3"/>
        <v>768.89836351591396</v>
      </c>
      <c r="F24" s="5">
        <f t="shared" si="3"/>
        <v>900.16050041356448</v>
      </c>
      <c r="G24" s="5">
        <f t="shared" si="3"/>
        <v>1009.0726893922429</v>
      </c>
      <c r="H24" s="5">
        <f t="shared" si="3"/>
        <v>1089.9216338105409</v>
      </c>
      <c r="I24" s="5">
        <f t="shared" si="3"/>
        <v>1154.1224539896177</v>
      </c>
      <c r="J24" s="5">
        <f t="shared" si="3"/>
        <v>1199.941935912429</v>
      </c>
      <c r="K24" s="5">
        <f t="shared" si="3"/>
        <v>1224.9741668334386</v>
      </c>
    </row>
    <row r="25" spans="1:11" x14ac:dyDescent="0.35">
      <c r="A25" s="2" t="s">
        <v>121</v>
      </c>
      <c r="B25" s="8">
        <f t="shared" ref="B25:K25" si="4">B23-B24</f>
        <v>2411.2702724749997</v>
      </c>
      <c r="C25" s="8">
        <f t="shared" si="4"/>
        <v>3925.4061934603997</v>
      </c>
      <c r="D25" s="8">
        <f t="shared" si="4"/>
        <v>5234.5026734240319</v>
      </c>
      <c r="E25" s="8">
        <f t="shared" si="4"/>
        <v>6322.0532111308494</v>
      </c>
      <c r="F25" s="8">
        <f t="shared" si="4"/>
        <v>7001.2483365499465</v>
      </c>
      <c r="G25" s="8">
        <f t="shared" si="4"/>
        <v>7063.5088257457001</v>
      </c>
      <c r="H25" s="8">
        <f t="shared" si="4"/>
        <v>6842.2858122550624</v>
      </c>
      <c r="I25" s="8">
        <f t="shared" si="4"/>
        <v>6540.027239274501</v>
      </c>
      <c r="J25" s="8">
        <f t="shared" si="4"/>
        <v>6066.3731204461692</v>
      </c>
      <c r="K25" s="8">
        <f t="shared" si="4"/>
        <v>5580.4378711301106</v>
      </c>
    </row>
    <row r="26" spans="1:11" x14ac:dyDescent="0.35">
      <c r="A26" s="2" t="s">
        <v>122</v>
      </c>
      <c r="B26" s="5">
        <f t="shared" ref="B26:K26" si="5">B25*B12</f>
        <v>482.25405449499999</v>
      </c>
      <c r="C26" s="5">
        <f t="shared" si="5"/>
        <v>785.08123869207998</v>
      </c>
      <c r="D26" s="5">
        <f t="shared" si="5"/>
        <v>1046.9005346848064</v>
      </c>
      <c r="E26" s="5">
        <f t="shared" si="5"/>
        <v>1264.41064222617</v>
      </c>
      <c r="F26" s="5">
        <f t="shared" si="5"/>
        <v>1400.2496673099895</v>
      </c>
      <c r="G26" s="5">
        <f t="shared" si="5"/>
        <v>1412.7017651491401</v>
      </c>
      <c r="H26" s="5">
        <f t="shared" si="5"/>
        <v>1368.4571624510127</v>
      </c>
      <c r="I26" s="5">
        <f t="shared" si="5"/>
        <v>1308.0054478549002</v>
      </c>
      <c r="J26" s="5">
        <f t="shared" si="5"/>
        <v>1213.2746240892338</v>
      </c>
      <c r="K26" s="5">
        <f t="shared" si="5"/>
        <v>1116.0875742260221</v>
      </c>
    </row>
    <row r="27" spans="1:11" x14ac:dyDescent="0.35">
      <c r="A27" s="2" t="s">
        <v>123</v>
      </c>
      <c r="B27" s="5">
        <f t="shared" ref="B27:K27" si="6">B25-B26</f>
        <v>1929.0162179799997</v>
      </c>
      <c r="C27" s="5">
        <f t="shared" si="6"/>
        <v>3140.3249547683199</v>
      </c>
      <c r="D27" s="5">
        <f t="shared" si="6"/>
        <v>4187.6021387392257</v>
      </c>
      <c r="E27" s="5">
        <f t="shared" si="6"/>
        <v>5057.6425689046791</v>
      </c>
      <c r="F27" s="5">
        <f t="shared" si="6"/>
        <v>5600.9986692399571</v>
      </c>
      <c r="G27" s="5">
        <f t="shared" si="6"/>
        <v>5650.8070605965604</v>
      </c>
      <c r="H27" s="5">
        <f t="shared" si="6"/>
        <v>5473.8286498040497</v>
      </c>
      <c r="I27" s="5">
        <f t="shared" si="6"/>
        <v>5232.021791419601</v>
      </c>
      <c r="J27" s="5">
        <f t="shared" si="6"/>
        <v>4853.0984963569354</v>
      </c>
      <c r="K27" s="5">
        <f t="shared" si="6"/>
        <v>4464.3502969040883</v>
      </c>
    </row>
    <row r="28" spans="1:11" x14ac:dyDescent="0.35">
      <c r="A28" s="2" t="s">
        <v>124</v>
      </c>
      <c r="B28" s="5">
        <f t="shared" ref="B28:K28" si="7">B20*B13</f>
        <v>266.07120248000001</v>
      </c>
      <c r="C28" s="5">
        <f t="shared" si="7"/>
        <v>464.85073343609997</v>
      </c>
      <c r="D28" s="5">
        <f t="shared" si="7"/>
        <v>688.75035176632002</v>
      </c>
      <c r="E28" s="5">
        <f t="shared" si="7"/>
        <v>939.76466651945043</v>
      </c>
      <c r="F28" s="5">
        <f t="shared" si="7"/>
        <v>1100.1961671721344</v>
      </c>
      <c r="G28" s="5">
        <f t="shared" si="7"/>
        <v>1233.3110648127413</v>
      </c>
      <c r="H28" s="5">
        <f t="shared" si="7"/>
        <v>1332.1264413239944</v>
      </c>
      <c r="I28" s="5">
        <f t="shared" si="7"/>
        <v>1410.5941104317551</v>
      </c>
      <c r="J28" s="5">
        <f t="shared" si="7"/>
        <v>1466.5956994485246</v>
      </c>
      <c r="K28" s="5">
        <f t="shared" si="7"/>
        <v>1497.1906483519808</v>
      </c>
    </row>
    <row r="29" spans="1:11" x14ac:dyDescent="0.35">
      <c r="A29" s="2" t="s">
        <v>125</v>
      </c>
      <c r="B29" s="5">
        <f t="shared" ref="B29:K29" si="8">B20*B14</f>
        <v>864.73140806000004</v>
      </c>
      <c r="C29" s="5">
        <f t="shared" si="8"/>
        <v>1136.3017928438001</v>
      </c>
      <c r="D29" s="5">
        <f t="shared" si="8"/>
        <v>1308.625668356008</v>
      </c>
      <c r="E29" s="5">
        <f t="shared" si="8"/>
        <v>1366.9304240282916</v>
      </c>
      <c r="F29" s="5">
        <f t="shared" si="8"/>
        <v>1500.2675006892741</v>
      </c>
      <c r="G29" s="5">
        <f t="shared" si="8"/>
        <v>1569.6686279434891</v>
      </c>
      <c r="H29" s="5">
        <f t="shared" si="8"/>
        <v>1574.3312488374479</v>
      </c>
      <c r="I29" s="5">
        <f t="shared" si="8"/>
        <v>1538.8299386528236</v>
      </c>
      <c r="J29" s="5">
        <f t="shared" si="8"/>
        <v>1599.9225812165721</v>
      </c>
      <c r="K29" s="5">
        <f t="shared" si="8"/>
        <v>1633.2988891112516</v>
      </c>
    </row>
    <row r="30" spans="1:11" x14ac:dyDescent="0.35">
      <c r="A30" s="2" t="s">
        <v>126</v>
      </c>
      <c r="B30" s="5">
        <f t="shared" ref="B30:K30" si="9">B20*B15</f>
        <v>1197.3204111599998</v>
      </c>
      <c r="C30" s="5">
        <f t="shared" si="9"/>
        <v>1859.4029337443999</v>
      </c>
      <c r="D30" s="5">
        <f t="shared" si="9"/>
        <v>2479.5012663587518</v>
      </c>
      <c r="E30" s="5">
        <f t="shared" si="9"/>
        <v>3075.5934540636558</v>
      </c>
      <c r="F30" s="5">
        <f t="shared" si="9"/>
        <v>3600.6420016542579</v>
      </c>
      <c r="G30" s="5">
        <f t="shared" si="9"/>
        <v>4036.2907575689715</v>
      </c>
      <c r="H30" s="5">
        <f t="shared" si="9"/>
        <v>4359.6865352421637</v>
      </c>
      <c r="I30" s="5">
        <f t="shared" si="9"/>
        <v>4616.4898159584709</v>
      </c>
      <c r="J30" s="5">
        <f t="shared" si="9"/>
        <v>4799.7677436497161</v>
      </c>
      <c r="K30" s="5">
        <f t="shared" si="9"/>
        <v>4899.8966673337545</v>
      </c>
    </row>
    <row r="31" spans="1:11" x14ac:dyDescent="0.35">
      <c r="A31" s="2" t="s">
        <v>127</v>
      </c>
      <c r="B31" s="5">
        <f>B30-Capital!$B$21</f>
        <v>643.92041115999984</v>
      </c>
      <c r="C31" s="5">
        <f t="shared" ref="C31:K31" si="10">C30-B30</f>
        <v>662.08252258440007</v>
      </c>
      <c r="D31" s="5">
        <f t="shared" si="10"/>
        <v>620.09833261435188</v>
      </c>
      <c r="E31" s="5">
        <f t="shared" si="10"/>
        <v>596.09218770490406</v>
      </c>
      <c r="F31" s="5">
        <f t="shared" si="10"/>
        <v>525.04854759060208</v>
      </c>
      <c r="G31" s="5">
        <f t="shared" si="10"/>
        <v>435.64875591471355</v>
      </c>
      <c r="H31" s="5">
        <f t="shared" si="10"/>
        <v>323.39577767319224</v>
      </c>
      <c r="I31" s="5">
        <f t="shared" si="10"/>
        <v>256.8032807163072</v>
      </c>
      <c r="J31" s="5">
        <f t="shared" si="10"/>
        <v>183.27792769124517</v>
      </c>
      <c r="K31" s="5">
        <f t="shared" si="10"/>
        <v>100.12892368403845</v>
      </c>
    </row>
    <row r="32" spans="1:11" x14ac:dyDescent="0.35">
      <c r="A32" s="2" t="s">
        <v>128</v>
      </c>
      <c r="B32" s="8">
        <f t="shared" ref="B32:K32" si="11">B27+B28-B29-B31</f>
        <v>686.43560123999976</v>
      </c>
      <c r="C32" s="8">
        <f t="shared" si="11"/>
        <v>1806.7913727762198</v>
      </c>
      <c r="D32" s="8">
        <f t="shared" si="11"/>
        <v>2947.628489535186</v>
      </c>
      <c r="E32" s="8">
        <f t="shared" si="11"/>
        <v>4034.3846236909339</v>
      </c>
      <c r="F32" s="8">
        <f t="shared" si="11"/>
        <v>4675.878788132215</v>
      </c>
      <c r="G32" s="8">
        <f t="shared" si="11"/>
        <v>4878.8007415510992</v>
      </c>
      <c r="H32" s="8">
        <f t="shared" si="11"/>
        <v>4908.228064617404</v>
      </c>
      <c r="I32" s="8">
        <f t="shared" si="11"/>
        <v>4846.9826824822258</v>
      </c>
      <c r="J32" s="8">
        <f t="shared" si="11"/>
        <v>4536.493686897642</v>
      </c>
      <c r="K32" s="8">
        <f t="shared" si="11"/>
        <v>4228.1131324607786</v>
      </c>
    </row>
    <row r="33" spans="1:11" x14ac:dyDescent="0.35">
      <c r="A33" s="2" t="s">
        <v>129</v>
      </c>
      <c r="B33" s="4">
        <f t="shared" ref="B33:K33" si="12">B25/B20</f>
        <v>0.36249999999999999</v>
      </c>
      <c r="C33" s="4">
        <f t="shared" si="12"/>
        <v>0.37999999999999995</v>
      </c>
      <c r="D33" s="4">
        <f t="shared" si="12"/>
        <v>0.38</v>
      </c>
      <c r="E33" s="4">
        <f t="shared" si="12"/>
        <v>0.37000000000000005</v>
      </c>
      <c r="F33" s="4">
        <f t="shared" si="12"/>
        <v>0.35000000000000003</v>
      </c>
      <c r="G33" s="4">
        <f t="shared" si="12"/>
        <v>0.315</v>
      </c>
      <c r="H33" s="4">
        <f t="shared" si="12"/>
        <v>0.28250000000000003</v>
      </c>
      <c r="I33" s="4">
        <f t="shared" si="12"/>
        <v>0.255</v>
      </c>
      <c r="J33" s="4">
        <f t="shared" si="12"/>
        <v>0.22749999999999998</v>
      </c>
      <c r="K33" s="4">
        <f t="shared" si="12"/>
        <v>0.20500000000000002</v>
      </c>
    </row>
    <row r="34" spans="1:11" x14ac:dyDescent="0.35">
      <c r="A34" s="2" t="s">
        <v>130</v>
      </c>
      <c r="B34" s="5">
        <f t="shared" ref="B34:K34" si="13">B25+B28</f>
        <v>2677.3414749549997</v>
      </c>
      <c r="C34" s="5">
        <f t="shared" si="13"/>
        <v>4390.2569268964999</v>
      </c>
      <c r="D34" s="5">
        <f t="shared" si="13"/>
        <v>5923.2530251903518</v>
      </c>
      <c r="E34" s="5">
        <f t="shared" si="13"/>
        <v>7261.8178776503</v>
      </c>
      <c r="F34" s="5">
        <f t="shared" si="13"/>
        <v>8101.4445037220812</v>
      </c>
      <c r="G34" s="5">
        <f t="shared" si="13"/>
        <v>8296.8198905584413</v>
      </c>
      <c r="H34" s="5">
        <f t="shared" si="13"/>
        <v>8174.4122535790566</v>
      </c>
      <c r="I34" s="5">
        <f t="shared" si="13"/>
        <v>7950.6213497062563</v>
      </c>
      <c r="J34" s="5">
        <f t="shared" si="13"/>
        <v>7532.9688198946933</v>
      </c>
      <c r="K34" s="5">
        <f t="shared" si="13"/>
        <v>7077.6285194820912</v>
      </c>
    </row>
    <row r="36" spans="1:11" x14ac:dyDescent="0.35">
      <c r="A36" s="2" t="s">
        <v>131</v>
      </c>
      <c r="B36" s="4">
        <f>Summary!$B$25</f>
        <v>0.76986301369863008</v>
      </c>
      <c r="C36" s="4">
        <f>1</f>
        <v>1</v>
      </c>
      <c r="D36" s="4">
        <f>1</f>
        <v>1</v>
      </c>
      <c r="E36" s="4">
        <f>1</f>
        <v>1</v>
      </c>
      <c r="F36" s="4">
        <f>1</f>
        <v>1</v>
      </c>
      <c r="G36" s="4">
        <f>1</f>
        <v>1</v>
      </c>
      <c r="H36" s="4">
        <f>1</f>
        <v>1</v>
      </c>
      <c r="I36" s="4">
        <f>1</f>
        <v>1</v>
      </c>
      <c r="J36" s="4">
        <f>1</f>
        <v>1</v>
      </c>
      <c r="K36" s="4">
        <f>1</f>
        <v>1</v>
      </c>
    </row>
    <row r="37" spans="1:11" x14ac:dyDescent="0.35">
      <c r="A37" s="2" t="s">
        <v>132</v>
      </c>
      <c r="B37" s="5">
        <f>Summary!$B$25+0</f>
        <v>0.76986301369863008</v>
      </c>
      <c r="C37" s="5">
        <f>Summary!$B$25+1</f>
        <v>1.7698630136986302</v>
      </c>
      <c r="D37" s="5">
        <f>Summary!$B$25+2</f>
        <v>2.7698630136986302</v>
      </c>
      <c r="E37" s="5">
        <f>Summary!$B$25+3</f>
        <v>3.7698630136986302</v>
      </c>
      <c r="F37" s="5">
        <f>Summary!$B$25+4</f>
        <v>4.7698630136986298</v>
      </c>
      <c r="G37" s="5">
        <f>Summary!$B$25+5</f>
        <v>5.7698630136986298</v>
      </c>
      <c r="H37" s="5">
        <f>Summary!$B$25+6</f>
        <v>6.7698630136986298</v>
      </c>
      <c r="I37" s="5">
        <f>Summary!$B$25+7</f>
        <v>7.7698630136986298</v>
      </c>
      <c r="J37" s="5">
        <f>Summary!$B$25+8</f>
        <v>8.7698630136986306</v>
      </c>
      <c r="K37" s="5">
        <f>Summary!$B$25+9</f>
        <v>9.7698630136986306</v>
      </c>
    </row>
    <row r="38" spans="1:11" x14ac:dyDescent="0.35">
      <c r="A38" s="2" t="s">
        <v>133</v>
      </c>
      <c r="B38" s="5">
        <f>1/(1+WACC!$B$26)^B37</f>
        <v>0.90420476703443664</v>
      </c>
      <c r="C38" s="5">
        <f>1/(1+WACC!$B$26)^C37</f>
        <v>0.79334175508542215</v>
      </c>
      <c r="D38" s="5">
        <f>1/(1+WACC!$B$26)^D37</f>
        <v>0.69607146888448945</v>
      </c>
      <c r="E38" s="5">
        <f>1/(1+WACC!$B$26)^E37</f>
        <v>0.61072732739604907</v>
      </c>
      <c r="F38" s="5">
        <f>1/(1+WACC!$B$26)^F37</f>
        <v>0.5358470862569098</v>
      </c>
      <c r="G38" s="5">
        <f>1/(1+WACC!$B$26)^G37</f>
        <v>0.47014778440365823</v>
      </c>
      <c r="H38" s="5">
        <f>1/(1+WACC!$B$26)^H37</f>
        <v>0.4125037624515373</v>
      </c>
      <c r="I38" s="5">
        <f>1/(1+WACC!$B$26)^I37</f>
        <v>0.36192737620258425</v>
      </c>
      <c r="J38" s="5">
        <f>1/(1+WACC!$B$26)^J37</f>
        <v>0.31755207483780562</v>
      </c>
      <c r="K38" s="5">
        <f>1/(1+WACC!$B$26)^K37</f>
        <v>0.27861755386349046</v>
      </c>
    </row>
    <row r="39" spans="1:11" x14ac:dyDescent="0.35">
      <c r="A39" s="2" t="s">
        <v>134</v>
      </c>
      <c r="B39" s="8">
        <f t="shared" ref="B39:K39" si="14">B32*B36*B38</f>
        <v>477.83729960505042</v>
      </c>
      <c r="C39" s="8">
        <f t="shared" si="14"/>
        <v>1433.4030387514854</v>
      </c>
      <c r="D39" s="8">
        <f t="shared" si="14"/>
        <v>2051.7600924365261</v>
      </c>
      <c r="E39" s="8">
        <f t="shared" si="14"/>
        <v>2463.9089389144792</v>
      </c>
      <c r="F39" s="8">
        <f t="shared" si="14"/>
        <v>2505.5560243111381</v>
      </c>
      <c r="G39" s="8">
        <f t="shared" si="14"/>
        <v>2293.7573591871742</v>
      </c>
      <c r="H39" s="8">
        <f t="shared" si="14"/>
        <v>2024.6625436249062</v>
      </c>
      <c r="I39" s="8">
        <f t="shared" si="14"/>
        <v>1754.2557247701554</v>
      </c>
      <c r="J39" s="8">
        <f t="shared" si="14"/>
        <v>1440.5729827629527</v>
      </c>
      <c r="K39" s="8">
        <f t="shared" si="14"/>
        <v>1178.0265384243223</v>
      </c>
    </row>
    <row r="41" spans="1:11" ht="24" customHeight="1" x14ac:dyDescent="0.35">
      <c r="A41" s="11" t="s">
        <v>135</v>
      </c>
      <c r="B41" s="11"/>
      <c r="C41" s="11"/>
      <c r="D41" s="11"/>
      <c r="E41" s="11"/>
      <c r="F41" s="11"/>
      <c r="G41" s="11"/>
      <c r="H41" s="11"/>
      <c r="I41" s="11"/>
      <c r="J41" s="11"/>
      <c r="K41" s="11"/>
    </row>
    <row r="42" spans="1:11" x14ac:dyDescent="0.35">
      <c r="B42" s="1" t="s">
        <v>148</v>
      </c>
      <c r="D42" s="1" t="s">
        <v>149</v>
      </c>
    </row>
    <row r="43" spans="1:11" x14ac:dyDescent="0.35">
      <c r="A43" s="2" t="s">
        <v>136</v>
      </c>
      <c r="B43" s="5">
        <f>K20*(1+WACC!B30)</f>
        <v>28038.297596409822</v>
      </c>
    </row>
    <row r="44" spans="1:11" x14ac:dyDescent="0.35">
      <c r="A44" s="2" t="s">
        <v>137</v>
      </c>
      <c r="B44" s="5">
        <f>B43*(K10-K11)*(1-K12)</f>
        <v>4598.2808058112114</v>
      </c>
    </row>
    <row r="45" spans="1:11" x14ac:dyDescent="0.35">
      <c r="A45" s="2" t="s">
        <v>138</v>
      </c>
      <c r="B45" s="5">
        <f>B43*K13</f>
        <v>1542.1063678025403</v>
      </c>
    </row>
    <row r="46" spans="1:11" x14ac:dyDescent="0.35">
      <c r="A46" s="2" t="s">
        <v>139</v>
      </c>
      <c r="B46" s="5">
        <f>B43*K14</f>
        <v>1682.2978557845893</v>
      </c>
    </row>
    <row r="47" spans="1:11" x14ac:dyDescent="0.35">
      <c r="A47" s="2" t="s">
        <v>140</v>
      </c>
      <c r="B47" s="5">
        <f>B43*K15-K30</f>
        <v>146.99690002001353</v>
      </c>
    </row>
    <row r="48" spans="1:11" x14ac:dyDescent="0.35">
      <c r="A48" s="2" t="s">
        <v>141</v>
      </c>
      <c r="B48" s="8">
        <f>B44+B45-B46-B47</f>
        <v>4311.0924178091491</v>
      </c>
    </row>
    <row r="49" spans="1:11" x14ac:dyDescent="0.35">
      <c r="A49" s="2" t="s">
        <v>142</v>
      </c>
      <c r="B49" s="5">
        <f>B48/(WACC!B26-WACC!B30)</f>
        <v>39283.956225581605</v>
      </c>
      <c r="D49" s="5">
        <f>K34*WACC!B31</f>
        <v>113242.05631171346</v>
      </c>
    </row>
    <row r="50" spans="1:11" x14ac:dyDescent="0.35">
      <c r="A50" s="2" t="s">
        <v>143</v>
      </c>
      <c r="B50" s="5">
        <f>B49*K38</f>
        <v>10945.199789651984</v>
      </c>
      <c r="D50" s="5">
        <f>D49*K38</f>
        <v>31551.224724041243</v>
      </c>
    </row>
    <row r="51" spans="1:11" x14ac:dyDescent="0.35">
      <c r="A51" s="2" t="s">
        <v>144</v>
      </c>
      <c r="B51" s="5">
        <f>SUM(B39:K39)</f>
        <v>17623.740542788189</v>
      </c>
      <c r="D51" s="5">
        <f>B51</f>
        <v>17623.740542788189</v>
      </c>
    </row>
    <row r="52" spans="1:11" x14ac:dyDescent="0.35">
      <c r="A52" s="2" t="s">
        <v>145</v>
      </c>
      <c r="B52" s="8">
        <f>B50+B51</f>
        <v>28568.940332440172</v>
      </c>
      <c r="D52" s="5">
        <f>D50+D51</f>
        <v>49174.965266829429</v>
      </c>
    </row>
    <row r="53" spans="1:11" x14ac:dyDescent="0.35">
      <c r="A53" s="2" t="s">
        <v>146</v>
      </c>
      <c r="B53" s="4">
        <f>B50/B52</f>
        <v>0.38311535752775738</v>
      </c>
      <c r="D53" s="4">
        <f>D50/D52</f>
        <v>0.6416115304370914</v>
      </c>
    </row>
    <row r="54" spans="1:11" x14ac:dyDescent="0.35">
      <c r="A54" s="2" t="s">
        <v>147</v>
      </c>
      <c r="B54" s="5">
        <f>B49/K34</f>
        <v>5.5504405349118588</v>
      </c>
    </row>
    <row r="56" spans="1:11" ht="24" customHeight="1" x14ac:dyDescent="0.35">
      <c r="A56" s="11" t="s">
        <v>150</v>
      </c>
      <c r="B56" s="11"/>
      <c r="C56" s="11"/>
      <c r="D56" s="11"/>
      <c r="E56" s="11"/>
      <c r="F56" s="11"/>
      <c r="G56" s="11"/>
      <c r="H56" s="11"/>
      <c r="I56" s="11"/>
      <c r="J56" s="11"/>
      <c r="K56" s="11"/>
    </row>
    <row r="58" spans="1:11" x14ac:dyDescent="0.35">
      <c r="A58" s="2" t="s">
        <v>151</v>
      </c>
      <c r="B58" s="5">
        <f>B52</f>
        <v>28568.940332440172</v>
      </c>
      <c r="D58" s="5">
        <f>D52</f>
        <v>49174.965266829429</v>
      </c>
    </row>
    <row r="59" spans="1:11" x14ac:dyDescent="0.35">
      <c r="A59" s="2" t="s">
        <v>152</v>
      </c>
      <c r="B59" s="5">
        <f>Capital!B7+Capital!B8</f>
        <v>2738.4</v>
      </c>
      <c r="D59" s="5">
        <f>Capital!B7+Capital!B8</f>
        <v>2738.4</v>
      </c>
    </row>
    <row r="60" spans="1:11" x14ac:dyDescent="0.35">
      <c r="A60" s="2" t="s">
        <v>153</v>
      </c>
      <c r="B60" s="5">
        <f>Capital!B33</f>
        <v>1647.1</v>
      </c>
      <c r="D60" s="5">
        <f>Capital!B33</f>
        <v>1647.1</v>
      </c>
    </row>
    <row r="61" spans="1:11" x14ac:dyDescent="0.35">
      <c r="A61" s="2" t="s">
        <v>154</v>
      </c>
      <c r="B61" s="5">
        <f>Capital!B19+Capital!B20</f>
        <v>0</v>
      </c>
      <c r="D61" s="5">
        <f>Capital!B19+Capital!B20</f>
        <v>0</v>
      </c>
    </row>
    <row r="62" spans="1:11" x14ac:dyDescent="0.35">
      <c r="A62" s="2" t="s">
        <v>155</v>
      </c>
      <c r="B62" s="5">
        <f>B58+B59-B60-B61</f>
        <v>29660.240332440175</v>
      </c>
      <c r="D62" s="5">
        <f>D58+D59-D60-D61</f>
        <v>50266.265266829432</v>
      </c>
    </row>
    <row r="63" spans="1:11" x14ac:dyDescent="0.35">
      <c r="A63" s="2" t="s">
        <v>156</v>
      </c>
      <c r="B63" s="5">
        <f>Capital!B18</f>
        <v>94.498187128613154</v>
      </c>
      <c r="D63" s="5">
        <f>Capital!B18</f>
        <v>94.498187128613154</v>
      </c>
    </row>
    <row r="64" spans="1:11" x14ac:dyDescent="0.35">
      <c r="A64" s="2" t="s">
        <v>157</v>
      </c>
      <c r="B64" s="5">
        <f>IF(B66&gt;Capital!C25,Capital!D25-Capital!B25/B66,0)+IF(B66&gt;Capital!C26,Capital!D26-Capital!B26/B66,0)+IF(B66&gt;Capital!C27,Capital!D27-Capital!B27/B66,0)+IF(B66&gt;Capital!C28,Capital!D28-Capital!B28/B66,0)</f>
        <v>4.2730775890397421</v>
      </c>
      <c r="D64" s="5">
        <f>IF(D66&gt;Capital!C25,Capital!D25-Capital!B25/D66,0)+IF(D66&gt;Capital!C26,Capital!D26-Capital!B26/D66,0)+IF(D66&gt;Capital!C27,Capital!D27-Capital!B27/D66,0)+IF(D66&gt;Capital!C28,Capital!D28-Capital!B28/D66,0)</f>
        <v>6.3312553013957222</v>
      </c>
    </row>
    <row r="65" spans="1:11" x14ac:dyDescent="0.35">
      <c r="A65" s="2" t="s">
        <v>158</v>
      </c>
      <c r="B65" s="5">
        <f>B63+B64</f>
        <v>98.771264717652898</v>
      </c>
      <c r="D65" s="5">
        <f>D63+D64</f>
        <v>100.82944243000888</v>
      </c>
    </row>
    <row r="66" spans="1:11" ht="15.5" x14ac:dyDescent="0.35">
      <c r="A66" s="2" t="s">
        <v>159</v>
      </c>
      <c r="B66" s="3">
        <f>IF(G71&lt;H71,G71,IF(G72&lt;H72,G72,IF(G73&lt;H73,G73,IF(G74&lt;H74,G74,G75))))</f>
        <v>300.29219953016508</v>
      </c>
      <c r="D66" s="3">
        <f>IF(I71&lt;J71,I71,IF(I72&lt;J72,I72,IF(I73&lt;J73,I73,IF(I74&lt;J74,I74,I75))))</f>
        <v>498.52765279072077</v>
      </c>
    </row>
    <row r="67" spans="1:11" x14ac:dyDescent="0.35">
      <c r="A67" s="2" t="s">
        <v>160</v>
      </c>
      <c r="B67" s="4">
        <f>B66/Capital!B16-1</f>
        <v>-0.66395608875217926</v>
      </c>
      <c r="D67" s="4">
        <f>D66/Capital!B16-1</f>
        <v>-0.44211943376783969</v>
      </c>
    </row>
    <row r="69" spans="1:11" ht="52" customHeight="1" x14ac:dyDescent="0.35">
      <c r="A69" s="10" t="s">
        <v>161</v>
      </c>
      <c r="B69" s="10"/>
      <c r="C69" s="10"/>
      <c r="D69" s="10"/>
      <c r="E69" s="10"/>
      <c r="F69" s="10"/>
      <c r="G69" s="10"/>
      <c r="H69" s="10"/>
      <c r="I69" s="10"/>
      <c r="J69" s="10"/>
      <c r="K69" s="10"/>
    </row>
    <row r="70" spans="1:11" ht="8" customHeight="1" x14ac:dyDescent="0.35"/>
    <row r="71" spans="1:11" x14ac:dyDescent="0.35">
      <c r="G71" s="5">
        <f>(B52+Capital!B32-Capital!B19-Capital!B20-(Capital!B27+Capital!B25+Capital!B26+Capital!B28))/(Capital!B18+0)</f>
        <v>313.87099830891179</v>
      </c>
      <c r="H71" s="5">
        <f>Capital!C27</f>
        <v>69.540000000000006</v>
      </c>
      <c r="I71" s="5">
        <f>(D52+Capital!B32-Capital!B19-Capital!B20-(Capital!B27+Capital!B25+Capital!B26+Capital!B28))/(Capital!B18+0)</f>
        <v>531.92835539179646</v>
      </c>
      <c r="J71" s="5">
        <f>Capital!C27</f>
        <v>69.540000000000006</v>
      </c>
    </row>
    <row r="72" spans="1:11" x14ac:dyDescent="0.35">
      <c r="G72" s="5">
        <f>(B52+Capital!B32-Capital!B19-Capital!B20-(Capital!B25+Capital!B26+Capital!B28))/(Capital!B18+Capital!D27)</f>
        <v>311.84667646328819</v>
      </c>
      <c r="H72" s="5">
        <f>Capital!C25</f>
        <v>99.29</v>
      </c>
      <c r="I72" s="5">
        <f>(D52+Capital!B32-Capital!B19-Capital!B20-(Capital!B25+Capital!B26+Capital!B28))/(Capital!B18+Capital!D27)</f>
        <v>528.09739306830875</v>
      </c>
      <c r="J72" s="5">
        <f>Capital!C25</f>
        <v>99.29</v>
      </c>
    </row>
    <row r="73" spans="1:11" x14ac:dyDescent="0.35">
      <c r="G73" s="5">
        <f>(B52+Capital!B32-Capital!B19-Capital!B20-(Capital!B26+Capital!B28))/(Capital!B18+Capital!D27+Capital!D25)</f>
        <v>310.62261028198458</v>
      </c>
      <c r="H73" s="5">
        <f>Capital!C26</f>
        <v>131.03</v>
      </c>
      <c r="I73" s="5">
        <f>(D52+Capital!B32-Capital!B19-Capital!B20-(Capital!B26+Capital!B28))/(Capital!B18+Capital!D27+Capital!D25)</f>
        <v>525.62798755782808</v>
      </c>
      <c r="J73" s="5">
        <f>Capital!C26</f>
        <v>131.03</v>
      </c>
    </row>
    <row r="74" spans="1:11" x14ac:dyDescent="0.35">
      <c r="G74" s="5">
        <f>(B52+Capital!B32-Capital!B19-Capital!B20-(Capital!B28))/(Capital!B18+Capital!D27+Capital!D25+Capital!D26)</f>
        <v>308.09032891896584</v>
      </c>
      <c r="H74" s="5">
        <f>Capital!C28</f>
        <v>187.77</v>
      </c>
      <c r="I74" s="5">
        <f>(D52+Capital!B32-Capital!B19-Capital!B20-(Capital!B28))/(Capital!B18+Capital!D27+Capital!D25+Capital!D26)</f>
        <v>520.06409977754333</v>
      </c>
      <c r="J74" s="5">
        <f>Capital!C28</f>
        <v>187.77</v>
      </c>
    </row>
    <row r="75" spans="1:11" x14ac:dyDescent="0.35">
      <c r="G75" s="5">
        <f>(B52+Capital!B32-Capital!B19-Capital!B20-(0))/(Capital!B18+Capital!D27+Capital!D25+Capital!D26+Capital!D28)</f>
        <v>300.29219953016508</v>
      </c>
      <c r="I75" s="5">
        <f>(D52+Capital!B32-Capital!B19-Capital!B20-(0))/(Capital!B18+Capital!D27+Capital!D25+Capital!D26+Capital!D28)</f>
        <v>498.52765279072077</v>
      </c>
    </row>
  </sheetData>
  <mergeCells count="6">
    <mergeCell ref="A69:K69"/>
    <mergeCell ref="A1:K2"/>
    <mergeCell ref="A3:K3"/>
    <mergeCell ref="A5:K5"/>
    <mergeCell ref="A41:K41"/>
    <mergeCell ref="A56:K56"/>
  </mergeCells>
  <pageMargins left="0.7" right="0.7" top="0.75" bottom="0.75" header="0.3" footer="0.3"/>
  <pageSetup paperSize="9" fitToHeight="0" orientation="landscape"/>
  <headerFooter>
    <oddFooter>&amp;LAI-assisted; sources and assumptions disclosed&amp;R&amp;P / &amp;N</oddFooter>
  </headerFooter>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pageSetUpPr fitToPage="1"/>
  </sheetPr>
  <dimension ref="A1:K75"/>
  <sheetViews>
    <sheetView showGridLines="0" zoomScale="90" zoomScaleNormal="90" workbookViewId="0">
      <pane xSplit="1" ySplit="6" topLeftCell="B7" activePane="bottomRight" state="frozen"/>
      <selection pane="topRight" activeCell="B1" sqref="B1"/>
      <selection pane="bottomLeft" activeCell="A7" sqref="A7"/>
      <selection pane="bottomRight"/>
    </sheetView>
  </sheetViews>
  <sheetFormatPr defaultRowHeight="14.5" x14ac:dyDescent="0.35"/>
  <cols>
    <col min="1" max="1" width="40.7265625" customWidth="1"/>
    <col min="2" max="11" width="14.7265625" customWidth="1"/>
  </cols>
  <sheetData>
    <row r="1" spans="1:11" x14ac:dyDescent="0.35">
      <c r="A1" s="9" t="s">
        <v>5</v>
      </c>
      <c r="B1" s="9"/>
      <c r="C1" s="9"/>
      <c r="D1" s="9"/>
      <c r="E1" s="9"/>
      <c r="F1" s="9"/>
      <c r="G1" s="9"/>
      <c r="H1" s="9"/>
      <c r="I1" s="9"/>
      <c r="J1" s="9"/>
      <c r="K1" s="9"/>
    </row>
    <row r="2" spans="1:11" x14ac:dyDescent="0.35">
      <c r="A2" s="9"/>
      <c r="B2" s="9"/>
      <c r="C2" s="9"/>
      <c r="D2" s="9"/>
      <c r="E2" s="9"/>
      <c r="F2" s="9"/>
      <c r="G2" s="9"/>
      <c r="H2" s="9"/>
      <c r="I2" s="9"/>
      <c r="J2" s="9"/>
      <c r="K2" s="9"/>
    </row>
    <row r="3" spans="1:11" x14ac:dyDescent="0.35">
      <c r="A3" s="10" t="s">
        <v>1</v>
      </c>
      <c r="B3" s="10"/>
      <c r="C3" s="10"/>
      <c r="D3" s="10"/>
      <c r="E3" s="10"/>
      <c r="F3" s="10"/>
      <c r="G3" s="10"/>
      <c r="H3" s="10"/>
      <c r="I3" s="10"/>
      <c r="J3" s="10"/>
      <c r="K3" s="10"/>
    </row>
    <row r="5" spans="1:11" ht="24" customHeight="1" x14ac:dyDescent="0.35">
      <c r="A5" s="11" t="s">
        <v>162</v>
      </c>
      <c r="B5" s="11"/>
      <c r="C5" s="11"/>
      <c r="D5" s="11"/>
      <c r="E5" s="11"/>
      <c r="F5" s="11"/>
      <c r="G5" s="11"/>
      <c r="H5" s="11"/>
      <c r="I5" s="11"/>
      <c r="J5" s="11"/>
      <c r="K5" s="11"/>
    </row>
    <row r="6" spans="1:11" x14ac:dyDescent="0.35">
      <c r="B6" s="1" t="s">
        <v>76</v>
      </c>
      <c r="C6" s="1" t="s">
        <v>77</v>
      </c>
      <c r="D6" s="1" t="s">
        <v>78</v>
      </c>
      <c r="E6" s="1" t="s">
        <v>79</v>
      </c>
      <c r="F6" s="1" t="s">
        <v>80</v>
      </c>
      <c r="G6" s="1" t="s">
        <v>81</v>
      </c>
      <c r="H6" s="1" t="s">
        <v>82</v>
      </c>
      <c r="I6" s="1" t="s">
        <v>83</v>
      </c>
      <c r="J6" s="1" t="s">
        <v>84</v>
      </c>
      <c r="K6" s="1" t="s">
        <v>85</v>
      </c>
    </row>
    <row r="8" spans="1:11" x14ac:dyDescent="0.35">
      <c r="A8" s="2" t="s">
        <v>107</v>
      </c>
      <c r="B8" s="7">
        <v>1.188995083252351</v>
      </c>
      <c r="C8" s="7">
        <v>0.54038271655997128</v>
      </c>
      <c r="D8" s="7">
        <v>0.30710469653413131</v>
      </c>
      <c r="E8" s="7">
        <v>0.22384104825785209</v>
      </c>
      <c r="F8" s="7">
        <v>0.15187134189280879</v>
      </c>
      <c r="G8" s="7">
        <v>0.1213394008263524</v>
      </c>
      <c r="H8" s="7">
        <v>9.0895848856308747E-2</v>
      </c>
      <c r="I8" s="7">
        <v>7.0683242354648401E-2</v>
      </c>
      <c r="J8" s="7">
        <v>5.0328640440724833E-2</v>
      </c>
      <c r="K8" s="7">
        <v>3.000000000000003E-2</v>
      </c>
    </row>
    <row r="9" spans="1:11" x14ac:dyDescent="0.35">
      <c r="A9" s="2" t="s">
        <v>108</v>
      </c>
      <c r="B9" s="7">
        <v>6.0000000000000053E-2</v>
      </c>
      <c r="C9" s="7">
        <v>6.0000000000000053E-2</v>
      </c>
      <c r="D9" s="7">
        <v>5.9999999999999831E-2</v>
      </c>
      <c r="E9" s="7">
        <v>6.0000000000000282E-2</v>
      </c>
      <c r="F9" s="7">
        <v>5.9999999999999831E-2</v>
      </c>
      <c r="G9" s="7">
        <v>5.0000000000000037E-2</v>
      </c>
      <c r="H9" s="7">
        <v>4.0000000000000042E-2</v>
      </c>
      <c r="I9" s="7">
        <v>3.000000000000003E-2</v>
      </c>
      <c r="J9" s="7">
        <v>3.000000000000003E-2</v>
      </c>
      <c r="K9" s="7">
        <v>3.000000000000003E-2</v>
      </c>
    </row>
    <row r="10" spans="1:11" x14ac:dyDescent="0.35">
      <c r="A10" s="2" t="s">
        <v>109</v>
      </c>
      <c r="B10" s="7">
        <v>0.40250000000000002</v>
      </c>
      <c r="C10" s="7">
        <v>0.41499999999999998</v>
      </c>
      <c r="D10" s="7">
        <v>0.41</v>
      </c>
      <c r="E10" s="7">
        <v>0.4</v>
      </c>
      <c r="F10" s="7">
        <v>0.38</v>
      </c>
      <c r="G10" s="7">
        <v>0.35</v>
      </c>
      <c r="H10" s="7">
        <v>0.32</v>
      </c>
      <c r="I10" s="7">
        <v>0.29499999999999998</v>
      </c>
      <c r="J10" s="7">
        <v>0.27</v>
      </c>
      <c r="K10" s="7">
        <v>0.25</v>
      </c>
    </row>
    <row r="11" spans="1:11" x14ac:dyDescent="0.35">
      <c r="A11" s="2" t="s">
        <v>110</v>
      </c>
      <c r="B11" s="7">
        <v>4.4999999999999998E-2</v>
      </c>
      <c r="C11" s="7">
        <v>4.4999999999999998E-2</v>
      </c>
      <c r="D11" s="7">
        <v>4.4999999999999998E-2</v>
      </c>
      <c r="E11" s="7">
        <v>4.4999999999999998E-2</v>
      </c>
      <c r="F11" s="7">
        <v>4.4999999999999998E-2</v>
      </c>
      <c r="G11" s="7">
        <v>4.4999999999999998E-2</v>
      </c>
      <c r="H11" s="7">
        <v>4.4999999999999998E-2</v>
      </c>
      <c r="I11" s="7">
        <v>4.4999999999999998E-2</v>
      </c>
      <c r="J11" s="7">
        <v>4.4999999999999998E-2</v>
      </c>
      <c r="K11" s="7">
        <v>4.4999999999999998E-2</v>
      </c>
    </row>
    <row r="12" spans="1:11" x14ac:dyDescent="0.35">
      <c r="A12" s="2" t="s">
        <v>111</v>
      </c>
      <c r="B12" s="4">
        <f>WACC!$B$19</f>
        <v>0.2</v>
      </c>
      <c r="C12" s="4">
        <f>WACC!$B$19</f>
        <v>0.2</v>
      </c>
      <c r="D12" s="4">
        <f>WACC!$B$19</f>
        <v>0.2</v>
      </c>
      <c r="E12" s="4">
        <f>WACC!$B$19</f>
        <v>0.2</v>
      </c>
      <c r="F12" s="4">
        <f>WACC!$B$19</f>
        <v>0.2</v>
      </c>
      <c r="G12" s="4">
        <f>WACC!$B$19</f>
        <v>0.2</v>
      </c>
      <c r="H12" s="4">
        <f>WACC!$B$19</f>
        <v>0.2</v>
      </c>
      <c r="I12" s="4">
        <f>WACC!$B$19</f>
        <v>0.2</v>
      </c>
      <c r="J12" s="4">
        <f>WACC!$B$19</f>
        <v>0.2</v>
      </c>
      <c r="K12" s="4">
        <f>WACC!$B$19</f>
        <v>0.2</v>
      </c>
    </row>
    <row r="13" spans="1:11" x14ac:dyDescent="0.35">
      <c r="A13" s="2" t="s">
        <v>112</v>
      </c>
      <c r="B13" s="7">
        <v>0.04</v>
      </c>
      <c r="C13" s="7">
        <v>4.4999999999999998E-2</v>
      </c>
      <c r="D13" s="7">
        <v>0.05</v>
      </c>
      <c r="E13" s="7">
        <v>5.5E-2</v>
      </c>
      <c r="F13" s="7">
        <v>5.5E-2</v>
      </c>
      <c r="G13" s="7">
        <v>5.5E-2</v>
      </c>
      <c r="H13" s="7">
        <v>5.5E-2</v>
      </c>
      <c r="I13" s="7">
        <v>5.5E-2</v>
      </c>
      <c r="J13" s="7">
        <v>5.5E-2</v>
      </c>
      <c r="K13" s="7">
        <v>5.5E-2</v>
      </c>
    </row>
    <row r="14" spans="1:11" x14ac:dyDescent="0.35">
      <c r="A14" s="2" t="s">
        <v>113</v>
      </c>
      <c r="B14" s="7">
        <v>0.13</v>
      </c>
      <c r="C14" s="7">
        <v>0.11</v>
      </c>
      <c r="D14" s="7">
        <v>9.5000000000000001E-2</v>
      </c>
      <c r="E14" s="7">
        <v>0.08</v>
      </c>
      <c r="F14" s="7">
        <v>7.4999999999999997E-2</v>
      </c>
      <c r="G14" s="7">
        <v>7.0000000000000007E-2</v>
      </c>
      <c r="H14" s="7">
        <v>6.5000000000000002E-2</v>
      </c>
      <c r="I14" s="7">
        <v>0.06</v>
      </c>
      <c r="J14" s="7">
        <v>0.06</v>
      </c>
      <c r="K14" s="7">
        <v>0.06</v>
      </c>
    </row>
    <row r="15" spans="1:11" x14ac:dyDescent="0.35">
      <c r="A15" s="2" t="s">
        <v>114</v>
      </c>
      <c r="B15" s="7">
        <v>0.18</v>
      </c>
      <c r="C15" s="7">
        <v>0.18</v>
      </c>
      <c r="D15" s="7">
        <v>0.18</v>
      </c>
      <c r="E15" s="7">
        <v>0.18</v>
      </c>
      <c r="F15" s="7">
        <v>0.18</v>
      </c>
      <c r="G15" s="7">
        <v>0.18</v>
      </c>
      <c r="H15" s="7">
        <v>0.18</v>
      </c>
      <c r="I15" s="7">
        <v>0.18</v>
      </c>
      <c r="J15" s="7">
        <v>0.18</v>
      </c>
      <c r="K15" s="7">
        <v>0.18</v>
      </c>
    </row>
    <row r="18" spans="1:11" x14ac:dyDescent="0.35">
      <c r="A18" s="2" t="s">
        <v>115</v>
      </c>
      <c r="B18" s="5">
        <f>Segments!B7</f>
        <v>6059.3353999999999</v>
      </c>
      <c r="C18" s="5">
        <f>Segments!C7</f>
        <v>9333.6955240000007</v>
      </c>
      <c r="D18" s="5">
        <f>Segments!D7</f>
        <v>12200.11725544</v>
      </c>
      <c r="E18" s="5">
        <f>Segments!E7</f>
        <v>14931.004290766399</v>
      </c>
      <c r="F18" s="5">
        <f>Segments!F7</f>
        <v>17198.59594821238</v>
      </c>
      <c r="G18" s="5">
        <f>Segments!G7</f>
        <v>19285.463275623002</v>
      </c>
      <c r="H18" s="5">
        <f>Segments!H7</f>
        <v>21038.431830647925</v>
      </c>
      <c r="I18" s="5">
        <f>Segments!I7</f>
        <v>22525.496406495364</v>
      </c>
      <c r="J18" s="5">
        <f>Segments!J7</f>
        <v>23659.174015886707</v>
      </c>
      <c r="K18" s="5">
        <f>Segments!K7</f>
        <v>24368.949236363307</v>
      </c>
    </row>
    <row r="19" spans="1:11" x14ac:dyDescent="0.35">
      <c r="A19" s="2" t="s">
        <v>116</v>
      </c>
      <c r="B19" s="5">
        <f>Segments!B8</f>
        <v>260.66460000000001</v>
      </c>
      <c r="C19" s="5">
        <f>Segments!C8</f>
        <v>276.30447600000002</v>
      </c>
      <c r="D19" s="5">
        <f>Segments!D8</f>
        <v>292.88274455999999</v>
      </c>
      <c r="E19" s="5">
        <f>Segments!E8</f>
        <v>310.45570923360009</v>
      </c>
      <c r="F19" s="5">
        <f>Segments!F8</f>
        <v>329.08305178761606</v>
      </c>
      <c r="G19" s="5">
        <f>Segments!G8</f>
        <v>345.5372043769969</v>
      </c>
      <c r="H19" s="5">
        <f>Segments!H8</f>
        <v>359.35869255207677</v>
      </c>
      <c r="I19" s="5">
        <f>Segments!I8</f>
        <v>370.13945332863909</v>
      </c>
      <c r="J19" s="5">
        <f>Segments!J8</f>
        <v>381.24363692849829</v>
      </c>
      <c r="K19" s="5">
        <f>Segments!K8</f>
        <v>392.68094603635325</v>
      </c>
    </row>
    <row r="20" spans="1:11" x14ac:dyDescent="0.35">
      <c r="A20" s="2" t="s">
        <v>117</v>
      </c>
      <c r="B20" s="8">
        <f t="shared" ref="B20:K20" si="0">B18+B19</f>
        <v>6320</v>
      </c>
      <c r="C20" s="8">
        <f t="shared" si="0"/>
        <v>9610</v>
      </c>
      <c r="D20" s="8">
        <f t="shared" si="0"/>
        <v>12493</v>
      </c>
      <c r="E20" s="8">
        <f t="shared" si="0"/>
        <v>15241.46</v>
      </c>
      <c r="F20" s="8">
        <f t="shared" si="0"/>
        <v>17527.678999999996</v>
      </c>
      <c r="G20" s="8">
        <f t="shared" si="0"/>
        <v>19631.000479999999</v>
      </c>
      <c r="H20" s="8">
        <f t="shared" si="0"/>
        <v>21397.790523200001</v>
      </c>
      <c r="I20" s="8">
        <f t="shared" si="0"/>
        <v>22895.635859824004</v>
      </c>
      <c r="J20" s="8">
        <f t="shared" si="0"/>
        <v>24040.417652815206</v>
      </c>
      <c r="K20" s="8">
        <f t="shared" si="0"/>
        <v>24761.630182399662</v>
      </c>
    </row>
    <row r="21" spans="1:11" x14ac:dyDescent="0.35">
      <c r="A21" s="2" t="s">
        <v>118</v>
      </c>
      <c r="B21" s="4">
        <f>B20/Segments!$B$24-1</f>
        <v>1.0968812209688124</v>
      </c>
      <c r="C21" s="4">
        <f t="shared" ref="C21:K21" si="1">C20/B20-1</f>
        <v>0.52056962025316467</v>
      </c>
      <c r="D21" s="4">
        <f t="shared" si="1"/>
        <v>0.30000000000000004</v>
      </c>
      <c r="E21" s="4">
        <f t="shared" si="1"/>
        <v>0.21999999999999997</v>
      </c>
      <c r="F21" s="4">
        <f t="shared" si="1"/>
        <v>0.14999999999999991</v>
      </c>
      <c r="G21" s="4">
        <f t="shared" si="1"/>
        <v>0.12000000000000011</v>
      </c>
      <c r="H21" s="4">
        <f t="shared" si="1"/>
        <v>9.000000000000008E-2</v>
      </c>
      <c r="I21" s="4">
        <f t="shared" si="1"/>
        <v>7.0000000000000062E-2</v>
      </c>
      <c r="J21" s="4">
        <f t="shared" si="1"/>
        <v>5.0000000000000044E-2</v>
      </c>
      <c r="K21" s="4">
        <f t="shared" si="1"/>
        <v>3.0000000000000027E-2</v>
      </c>
    </row>
    <row r="23" spans="1:11" x14ac:dyDescent="0.35">
      <c r="A23" s="2" t="s">
        <v>119</v>
      </c>
      <c r="B23" s="5">
        <f t="shared" ref="B23:K23" si="2">B20*B10</f>
        <v>2543.8000000000002</v>
      </c>
      <c r="C23" s="5">
        <f t="shared" si="2"/>
        <v>3988.1499999999996</v>
      </c>
      <c r="D23" s="5">
        <f t="shared" si="2"/>
        <v>5122.13</v>
      </c>
      <c r="E23" s="5">
        <f t="shared" si="2"/>
        <v>6096.5839999999998</v>
      </c>
      <c r="F23" s="5">
        <f t="shared" si="2"/>
        <v>6660.5180199999986</v>
      </c>
      <c r="G23" s="5">
        <f t="shared" si="2"/>
        <v>6870.850167999999</v>
      </c>
      <c r="H23" s="5">
        <f t="shared" si="2"/>
        <v>6847.2929674240004</v>
      </c>
      <c r="I23" s="5">
        <f t="shared" si="2"/>
        <v>6754.212578648081</v>
      </c>
      <c r="J23" s="5">
        <f t="shared" si="2"/>
        <v>6490.9127662601059</v>
      </c>
      <c r="K23" s="5">
        <f t="shared" si="2"/>
        <v>6190.4075455999155</v>
      </c>
    </row>
    <row r="24" spans="1:11" x14ac:dyDescent="0.35">
      <c r="A24" s="2" t="s">
        <v>120</v>
      </c>
      <c r="B24" s="5">
        <f t="shared" ref="B24:K24" si="3">B20*B11</f>
        <v>284.39999999999998</v>
      </c>
      <c r="C24" s="5">
        <f t="shared" si="3"/>
        <v>432.45</v>
      </c>
      <c r="D24" s="5">
        <f t="shared" si="3"/>
        <v>562.18499999999995</v>
      </c>
      <c r="E24" s="5">
        <f t="shared" si="3"/>
        <v>685.86569999999995</v>
      </c>
      <c r="F24" s="5">
        <f t="shared" si="3"/>
        <v>788.74555499999985</v>
      </c>
      <c r="G24" s="5">
        <f t="shared" si="3"/>
        <v>883.39502159999995</v>
      </c>
      <c r="H24" s="5">
        <f t="shared" si="3"/>
        <v>962.90057354400005</v>
      </c>
      <c r="I24" s="5">
        <f t="shared" si="3"/>
        <v>1030.30361369208</v>
      </c>
      <c r="J24" s="5">
        <f t="shared" si="3"/>
        <v>1081.8187943766843</v>
      </c>
      <c r="K24" s="5">
        <f t="shared" si="3"/>
        <v>1114.2733582079848</v>
      </c>
    </row>
    <row r="25" spans="1:11" x14ac:dyDescent="0.35">
      <c r="A25" s="2" t="s">
        <v>121</v>
      </c>
      <c r="B25" s="8">
        <f t="shared" ref="B25:K25" si="4">B23-B24</f>
        <v>2259.4</v>
      </c>
      <c r="C25" s="8">
        <f t="shared" si="4"/>
        <v>3555.7</v>
      </c>
      <c r="D25" s="8">
        <f t="shared" si="4"/>
        <v>4559.9449999999997</v>
      </c>
      <c r="E25" s="8">
        <f t="shared" si="4"/>
        <v>5410.7182999999995</v>
      </c>
      <c r="F25" s="8">
        <f t="shared" si="4"/>
        <v>5871.7724649999991</v>
      </c>
      <c r="G25" s="8">
        <f t="shared" si="4"/>
        <v>5987.4551463999987</v>
      </c>
      <c r="H25" s="8">
        <f t="shared" si="4"/>
        <v>5884.3923938799999</v>
      </c>
      <c r="I25" s="8">
        <f t="shared" si="4"/>
        <v>5723.908964956001</v>
      </c>
      <c r="J25" s="8">
        <f t="shared" si="4"/>
        <v>5409.0939718834215</v>
      </c>
      <c r="K25" s="8">
        <f t="shared" si="4"/>
        <v>5076.1341873919309</v>
      </c>
    </row>
    <row r="26" spans="1:11" x14ac:dyDescent="0.35">
      <c r="A26" s="2" t="s">
        <v>122</v>
      </c>
      <c r="B26" s="5">
        <f t="shared" ref="B26:K26" si="5">B25*B12</f>
        <v>451.88000000000005</v>
      </c>
      <c r="C26" s="5">
        <f t="shared" si="5"/>
        <v>711.14</v>
      </c>
      <c r="D26" s="5">
        <f t="shared" si="5"/>
        <v>911.98900000000003</v>
      </c>
      <c r="E26" s="5">
        <f t="shared" si="5"/>
        <v>1082.14366</v>
      </c>
      <c r="F26" s="5">
        <f t="shared" si="5"/>
        <v>1174.3544929999998</v>
      </c>
      <c r="G26" s="5">
        <f t="shared" si="5"/>
        <v>1197.4910292799998</v>
      </c>
      <c r="H26" s="5">
        <f t="shared" si="5"/>
        <v>1176.8784787760001</v>
      </c>
      <c r="I26" s="5">
        <f t="shared" si="5"/>
        <v>1144.7817929912003</v>
      </c>
      <c r="J26" s="5">
        <f t="shared" si="5"/>
        <v>1081.8187943766843</v>
      </c>
      <c r="K26" s="5">
        <f t="shared" si="5"/>
        <v>1015.2268374783862</v>
      </c>
    </row>
    <row r="27" spans="1:11" x14ac:dyDescent="0.35">
      <c r="A27" s="2" t="s">
        <v>123</v>
      </c>
      <c r="B27" s="5">
        <f t="shared" ref="B27:K27" si="6">B25-B26</f>
        <v>1807.52</v>
      </c>
      <c r="C27" s="5">
        <f t="shared" si="6"/>
        <v>2844.56</v>
      </c>
      <c r="D27" s="5">
        <f t="shared" si="6"/>
        <v>3647.9559999999997</v>
      </c>
      <c r="E27" s="5">
        <f t="shared" si="6"/>
        <v>4328.5746399999998</v>
      </c>
      <c r="F27" s="5">
        <f t="shared" si="6"/>
        <v>4697.4179719999993</v>
      </c>
      <c r="G27" s="5">
        <f t="shared" si="6"/>
        <v>4789.9641171199992</v>
      </c>
      <c r="H27" s="5">
        <f t="shared" si="6"/>
        <v>4707.5139151040003</v>
      </c>
      <c r="I27" s="5">
        <f t="shared" si="6"/>
        <v>4579.1271719648012</v>
      </c>
      <c r="J27" s="5">
        <f t="shared" si="6"/>
        <v>4327.2751775067372</v>
      </c>
      <c r="K27" s="5">
        <f t="shared" si="6"/>
        <v>4060.9073499135447</v>
      </c>
    </row>
    <row r="28" spans="1:11" x14ac:dyDescent="0.35">
      <c r="A28" s="2" t="s">
        <v>124</v>
      </c>
      <c r="B28" s="5">
        <f t="shared" ref="B28:K28" si="7">B20*B13</f>
        <v>252.8</v>
      </c>
      <c r="C28" s="5">
        <f t="shared" si="7"/>
        <v>432.45</v>
      </c>
      <c r="D28" s="5">
        <f t="shared" si="7"/>
        <v>624.65000000000009</v>
      </c>
      <c r="E28" s="5">
        <f t="shared" si="7"/>
        <v>838.28030000000001</v>
      </c>
      <c r="F28" s="5">
        <f t="shared" si="7"/>
        <v>964.02234499999986</v>
      </c>
      <c r="G28" s="5">
        <f t="shared" si="7"/>
        <v>1079.7050264</v>
      </c>
      <c r="H28" s="5">
        <f t="shared" si="7"/>
        <v>1176.8784787760001</v>
      </c>
      <c r="I28" s="5">
        <f t="shared" si="7"/>
        <v>1259.2599722903203</v>
      </c>
      <c r="J28" s="5">
        <f t="shared" si="7"/>
        <v>1322.2229709048363</v>
      </c>
      <c r="K28" s="5">
        <f t="shared" si="7"/>
        <v>1361.8896600319815</v>
      </c>
    </row>
    <row r="29" spans="1:11" x14ac:dyDescent="0.35">
      <c r="A29" s="2" t="s">
        <v>125</v>
      </c>
      <c r="B29" s="5">
        <f t="shared" ref="B29:K29" si="8">B20*B14</f>
        <v>821.6</v>
      </c>
      <c r="C29" s="5">
        <f t="shared" si="8"/>
        <v>1057.0999999999999</v>
      </c>
      <c r="D29" s="5">
        <f t="shared" si="8"/>
        <v>1186.835</v>
      </c>
      <c r="E29" s="5">
        <f t="shared" si="8"/>
        <v>1219.3168000000001</v>
      </c>
      <c r="F29" s="5">
        <f t="shared" si="8"/>
        <v>1314.5759249999996</v>
      </c>
      <c r="G29" s="5">
        <f t="shared" si="8"/>
        <v>1374.1700336000001</v>
      </c>
      <c r="H29" s="5">
        <f t="shared" si="8"/>
        <v>1390.8563840080001</v>
      </c>
      <c r="I29" s="5">
        <f t="shared" si="8"/>
        <v>1373.7381515894401</v>
      </c>
      <c r="J29" s="5">
        <f t="shared" si="8"/>
        <v>1442.4250591689122</v>
      </c>
      <c r="K29" s="5">
        <f t="shared" si="8"/>
        <v>1485.6978109439797</v>
      </c>
    </row>
    <row r="30" spans="1:11" x14ac:dyDescent="0.35">
      <c r="A30" s="2" t="s">
        <v>126</v>
      </c>
      <c r="B30" s="5">
        <f t="shared" ref="B30:K30" si="9">B20*B15</f>
        <v>1137.5999999999999</v>
      </c>
      <c r="C30" s="5">
        <f t="shared" si="9"/>
        <v>1729.8</v>
      </c>
      <c r="D30" s="5">
        <f t="shared" si="9"/>
        <v>2248.7399999999998</v>
      </c>
      <c r="E30" s="5">
        <f t="shared" si="9"/>
        <v>2743.4627999999998</v>
      </c>
      <c r="F30" s="5">
        <f t="shared" si="9"/>
        <v>3154.9822199999994</v>
      </c>
      <c r="G30" s="5">
        <f t="shared" si="9"/>
        <v>3533.5800863999998</v>
      </c>
      <c r="H30" s="5">
        <f t="shared" si="9"/>
        <v>3851.6022941760002</v>
      </c>
      <c r="I30" s="5">
        <f t="shared" si="9"/>
        <v>4121.2144547683201</v>
      </c>
      <c r="J30" s="5">
        <f t="shared" si="9"/>
        <v>4327.2751775067372</v>
      </c>
      <c r="K30" s="5">
        <f t="shared" si="9"/>
        <v>4457.093432831939</v>
      </c>
    </row>
    <row r="31" spans="1:11" x14ac:dyDescent="0.35">
      <c r="A31" s="2" t="s">
        <v>127</v>
      </c>
      <c r="B31" s="5">
        <f>B30-Capital!$B$21</f>
        <v>584.19999999999993</v>
      </c>
      <c r="C31" s="5">
        <f t="shared" ref="C31:K31" si="10">C30-B30</f>
        <v>592.20000000000005</v>
      </c>
      <c r="D31" s="5">
        <f t="shared" si="10"/>
        <v>518.93999999999983</v>
      </c>
      <c r="E31" s="5">
        <f t="shared" si="10"/>
        <v>494.72280000000001</v>
      </c>
      <c r="F31" s="5">
        <f t="shared" si="10"/>
        <v>411.51941999999963</v>
      </c>
      <c r="G31" s="5">
        <f t="shared" si="10"/>
        <v>378.59786640000038</v>
      </c>
      <c r="H31" s="5">
        <f t="shared" si="10"/>
        <v>318.02220777600041</v>
      </c>
      <c r="I31" s="5">
        <f t="shared" si="10"/>
        <v>269.61216059231992</v>
      </c>
      <c r="J31" s="5">
        <f t="shared" si="10"/>
        <v>206.0607227384171</v>
      </c>
      <c r="K31" s="5">
        <f t="shared" si="10"/>
        <v>129.81825532520179</v>
      </c>
    </row>
    <row r="32" spans="1:11" x14ac:dyDescent="0.35">
      <c r="A32" s="2" t="s">
        <v>128</v>
      </c>
      <c r="B32" s="8">
        <f t="shared" ref="B32:K32" si="11">B27+B28-B29-B31</f>
        <v>654.52000000000032</v>
      </c>
      <c r="C32" s="8">
        <f t="shared" si="11"/>
        <v>1627.7099999999998</v>
      </c>
      <c r="D32" s="8">
        <f t="shared" si="11"/>
        <v>2566.8310000000001</v>
      </c>
      <c r="E32" s="8">
        <f t="shared" si="11"/>
        <v>3452.8153400000001</v>
      </c>
      <c r="F32" s="8">
        <f t="shared" si="11"/>
        <v>3935.3449719999999</v>
      </c>
      <c r="G32" s="8">
        <f t="shared" si="11"/>
        <v>4116.9012435199984</v>
      </c>
      <c r="H32" s="8">
        <f t="shared" si="11"/>
        <v>4175.5138020959985</v>
      </c>
      <c r="I32" s="8">
        <f t="shared" si="11"/>
        <v>4195.0368320733614</v>
      </c>
      <c r="J32" s="8">
        <f t="shared" si="11"/>
        <v>4001.0123665042438</v>
      </c>
      <c r="K32" s="8">
        <f t="shared" si="11"/>
        <v>3807.2809436763446</v>
      </c>
    </row>
    <row r="33" spans="1:11" x14ac:dyDescent="0.35">
      <c r="A33" s="2" t="s">
        <v>129</v>
      </c>
      <c r="B33" s="4">
        <f t="shared" ref="B33:K33" si="12">B25/B20</f>
        <v>0.35750000000000004</v>
      </c>
      <c r="C33" s="4">
        <f t="shared" si="12"/>
        <v>0.37</v>
      </c>
      <c r="D33" s="4">
        <f t="shared" si="12"/>
        <v>0.36499999999999999</v>
      </c>
      <c r="E33" s="4">
        <f t="shared" si="12"/>
        <v>0.35499999999999998</v>
      </c>
      <c r="F33" s="4">
        <f t="shared" si="12"/>
        <v>0.33500000000000002</v>
      </c>
      <c r="G33" s="4">
        <f t="shared" si="12"/>
        <v>0.30499999999999994</v>
      </c>
      <c r="H33" s="4">
        <f t="shared" si="12"/>
        <v>0.27499999999999997</v>
      </c>
      <c r="I33" s="4">
        <f t="shared" si="12"/>
        <v>0.25</v>
      </c>
      <c r="J33" s="4">
        <f t="shared" si="12"/>
        <v>0.22500000000000001</v>
      </c>
      <c r="K33" s="4">
        <f t="shared" si="12"/>
        <v>0.20500000000000002</v>
      </c>
    </row>
    <row r="34" spans="1:11" x14ac:dyDescent="0.35">
      <c r="A34" s="2" t="s">
        <v>130</v>
      </c>
      <c r="B34" s="5">
        <f t="shared" ref="B34:K34" si="13">B25+B28</f>
        <v>2512.2000000000003</v>
      </c>
      <c r="C34" s="5">
        <f t="shared" si="13"/>
        <v>3988.1499999999996</v>
      </c>
      <c r="D34" s="5">
        <f t="shared" si="13"/>
        <v>5184.5949999999993</v>
      </c>
      <c r="E34" s="5">
        <f t="shared" si="13"/>
        <v>6248.9985999999999</v>
      </c>
      <c r="F34" s="5">
        <f t="shared" si="13"/>
        <v>6835.7948099999994</v>
      </c>
      <c r="G34" s="5">
        <f t="shared" si="13"/>
        <v>7067.1601727999987</v>
      </c>
      <c r="H34" s="5">
        <f t="shared" si="13"/>
        <v>7061.2708726559995</v>
      </c>
      <c r="I34" s="5">
        <f t="shared" si="13"/>
        <v>6983.1689372463215</v>
      </c>
      <c r="J34" s="5">
        <f t="shared" si="13"/>
        <v>6731.3169427882576</v>
      </c>
      <c r="K34" s="5">
        <f t="shared" si="13"/>
        <v>6438.0238474239122</v>
      </c>
    </row>
    <row r="36" spans="1:11" x14ac:dyDescent="0.35">
      <c r="A36" s="2" t="s">
        <v>131</v>
      </c>
      <c r="B36" s="4">
        <f>Summary!$B$25</f>
        <v>0.76986301369863008</v>
      </c>
      <c r="C36" s="4">
        <f>1</f>
        <v>1</v>
      </c>
      <c r="D36" s="4">
        <f>1</f>
        <v>1</v>
      </c>
      <c r="E36" s="4">
        <f>1</f>
        <v>1</v>
      </c>
      <c r="F36" s="4">
        <f>1</f>
        <v>1</v>
      </c>
      <c r="G36" s="4">
        <f>1</f>
        <v>1</v>
      </c>
      <c r="H36" s="4">
        <f>1</f>
        <v>1</v>
      </c>
      <c r="I36" s="4">
        <f>1</f>
        <v>1</v>
      </c>
      <c r="J36" s="4">
        <f>1</f>
        <v>1</v>
      </c>
      <c r="K36" s="4">
        <f>1</f>
        <v>1</v>
      </c>
    </row>
    <row r="37" spans="1:11" x14ac:dyDescent="0.35">
      <c r="A37" s="2" t="s">
        <v>132</v>
      </c>
      <c r="B37" s="5">
        <f>Summary!$B$25+0</f>
        <v>0.76986301369863008</v>
      </c>
      <c r="C37" s="5">
        <f>Summary!$B$25+1</f>
        <v>1.7698630136986302</v>
      </c>
      <c r="D37" s="5">
        <f>Summary!$B$25+2</f>
        <v>2.7698630136986302</v>
      </c>
      <c r="E37" s="5">
        <f>Summary!$B$25+3</f>
        <v>3.7698630136986302</v>
      </c>
      <c r="F37" s="5">
        <f>Summary!$B$25+4</f>
        <v>4.7698630136986298</v>
      </c>
      <c r="G37" s="5">
        <f>Summary!$B$25+5</f>
        <v>5.7698630136986298</v>
      </c>
      <c r="H37" s="5">
        <f>Summary!$B$25+6</f>
        <v>6.7698630136986298</v>
      </c>
      <c r="I37" s="5">
        <f>Summary!$B$25+7</f>
        <v>7.7698630136986298</v>
      </c>
      <c r="J37" s="5">
        <f>Summary!$B$25+8</f>
        <v>8.7698630136986306</v>
      </c>
      <c r="K37" s="5">
        <f>Summary!$B$25+9</f>
        <v>9.7698630136986306</v>
      </c>
    </row>
    <row r="38" spans="1:11" x14ac:dyDescent="0.35">
      <c r="A38" s="2" t="s">
        <v>133</v>
      </c>
      <c r="B38" s="5">
        <f>1/(1+WACC!$B$26)^B37</f>
        <v>0.90420476703443664</v>
      </c>
      <c r="C38" s="5">
        <f>1/(1+WACC!$B$26)^C37</f>
        <v>0.79334175508542215</v>
      </c>
      <c r="D38" s="5">
        <f>1/(1+WACC!$B$26)^D37</f>
        <v>0.69607146888448945</v>
      </c>
      <c r="E38" s="5">
        <f>1/(1+WACC!$B$26)^E37</f>
        <v>0.61072732739604907</v>
      </c>
      <c r="F38" s="5">
        <f>1/(1+WACC!$B$26)^F37</f>
        <v>0.5358470862569098</v>
      </c>
      <c r="G38" s="5">
        <f>1/(1+WACC!$B$26)^G37</f>
        <v>0.47014778440365823</v>
      </c>
      <c r="H38" s="5">
        <f>1/(1+WACC!$B$26)^H37</f>
        <v>0.4125037624515373</v>
      </c>
      <c r="I38" s="5">
        <f>1/(1+WACC!$B$26)^I37</f>
        <v>0.36192737620258425</v>
      </c>
      <c r="J38" s="5">
        <f>1/(1+WACC!$B$26)^J37</f>
        <v>0.31755207483780562</v>
      </c>
      <c r="K38" s="5">
        <f>1/(1+WACC!$B$26)^K37</f>
        <v>0.27861755386349046</v>
      </c>
    </row>
    <row r="39" spans="1:11" x14ac:dyDescent="0.35">
      <c r="A39" s="2" t="s">
        <v>134</v>
      </c>
      <c r="B39" s="8">
        <f t="shared" ref="B39:K39" si="14">B32*B36*B38</f>
        <v>455.62040892478274</v>
      </c>
      <c r="C39" s="8">
        <f t="shared" si="14"/>
        <v>1291.3303081700924</v>
      </c>
      <c r="D39" s="8">
        <f t="shared" si="14"/>
        <v>1786.697824548243</v>
      </c>
      <c r="E39" s="8">
        <f t="shared" si="14"/>
        <v>2108.7286845902804</v>
      </c>
      <c r="F39" s="8">
        <f t="shared" si="14"/>
        <v>2108.7431366619803</v>
      </c>
      <c r="G39" s="8">
        <f t="shared" si="14"/>
        <v>1935.5519982495928</v>
      </c>
      <c r="H39" s="8">
        <f t="shared" si="14"/>
        <v>1722.4151535329231</v>
      </c>
      <c r="I39" s="8">
        <f t="shared" si="14"/>
        <v>1518.2986737055128</v>
      </c>
      <c r="J39" s="8">
        <f t="shared" si="14"/>
        <v>1270.5297784351415</v>
      </c>
      <c r="K39" s="8">
        <f t="shared" si="14"/>
        <v>1060.7753033981846</v>
      </c>
    </row>
    <row r="41" spans="1:11" ht="24" customHeight="1" x14ac:dyDescent="0.35">
      <c r="A41" s="11" t="s">
        <v>135</v>
      </c>
      <c r="B41" s="11"/>
      <c r="C41" s="11"/>
      <c r="D41" s="11"/>
      <c r="E41" s="11"/>
      <c r="F41" s="11"/>
      <c r="G41" s="11"/>
      <c r="H41" s="11"/>
      <c r="I41" s="11"/>
      <c r="J41" s="11"/>
      <c r="K41" s="11"/>
    </row>
    <row r="42" spans="1:11" x14ac:dyDescent="0.35">
      <c r="B42" s="1" t="s">
        <v>148</v>
      </c>
      <c r="D42" s="1" t="s">
        <v>149</v>
      </c>
    </row>
    <row r="43" spans="1:11" x14ac:dyDescent="0.35">
      <c r="A43" s="2" t="s">
        <v>136</v>
      </c>
      <c r="B43" s="5">
        <f>K20*(1+WACC!B30)</f>
        <v>25504.479087871652</v>
      </c>
    </row>
    <row r="44" spans="1:11" x14ac:dyDescent="0.35">
      <c r="A44" s="2" t="s">
        <v>137</v>
      </c>
      <c r="B44" s="5">
        <f>B43*(K10-K11)*(1-K12)</f>
        <v>4182.7345704109512</v>
      </c>
    </row>
    <row r="45" spans="1:11" x14ac:dyDescent="0.35">
      <c r="A45" s="2" t="s">
        <v>138</v>
      </c>
      <c r="B45" s="5">
        <f>B43*K13</f>
        <v>1402.746349832941</v>
      </c>
    </row>
    <row r="46" spans="1:11" x14ac:dyDescent="0.35">
      <c r="A46" s="2" t="s">
        <v>139</v>
      </c>
      <c r="B46" s="5">
        <f>B43*K14</f>
        <v>1530.2687452722992</v>
      </c>
    </row>
    <row r="47" spans="1:11" x14ac:dyDescent="0.35">
      <c r="A47" s="2" t="s">
        <v>140</v>
      </c>
      <c r="B47" s="5">
        <f>B43*K15-K30</f>
        <v>133.71280298495822</v>
      </c>
    </row>
    <row r="48" spans="1:11" x14ac:dyDescent="0.35">
      <c r="A48" s="2" t="s">
        <v>141</v>
      </c>
      <c r="B48" s="8">
        <f>B44+B45-B46-B47</f>
        <v>3921.4993719866343</v>
      </c>
    </row>
    <row r="49" spans="1:11" x14ac:dyDescent="0.35">
      <c r="A49" s="2" t="s">
        <v>142</v>
      </c>
      <c r="B49" s="5">
        <f>B48/(WACC!B26-WACC!B30)</f>
        <v>35733.868527470884</v>
      </c>
      <c r="D49" s="5">
        <f>K34*WACC!B31</f>
        <v>103008.3815587826</v>
      </c>
    </row>
    <row r="50" spans="1:11" x14ac:dyDescent="0.35">
      <c r="A50" s="2" t="s">
        <v>143</v>
      </c>
      <c r="B50" s="5">
        <f>B49*K38</f>
        <v>9956.0830392035059</v>
      </c>
      <c r="D50" s="5">
        <f>D49*K38</f>
        <v>28699.943297345089</v>
      </c>
    </row>
    <row r="51" spans="1:11" x14ac:dyDescent="0.35">
      <c r="A51" s="2" t="s">
        <v>144</v>
      </c>
      <c r="B51" s="5">
        <f>SUM(B39:K39)</f>
        <v>15258.691270216734</v>
      </c>
      <c r="D51" s="5">
        <f>B51</f>
        <v>15258.691270216734</v>
      </c>
    </row>
    <row r="52" spans="1:11" x14ac:dyDescent="0.35">
      <c r="A52" s="2" t="s">
        <v>145</v>
      </c>
      <c r="B52" s="8">
        <f>B50+B51</f>
        <v>25214.774309420238</v>
      </c>
      <c r="D52" s="5">
        <f>D50+D51</f>
        <v>43958.634567561821</v>
      </c>
    </row>
    <row r="53" spans="1:11" x14ac:dyDescent="0.35">
      <c r="A53" s="2" t="s">
        <v>146</v>
      </c>
      <c r="B53" s="4">
        <f>B50/B52</f>
        <v>0.39485116610716259</v>
      </c>
      <c r="D53" s="4">
        <f>D50/D52</f>
        <v>0.65288523130159959</v>
      </c>
    </row>
    <row r="54" spans="1:11" x14ac:dyDescent="0.35">
      <c r="A54" s="2" t="s">
        <v>147</v>
      </c>
      <c r="B54" s="5">
        <f>B49/K34</f>
        <v>5.5504405349118588</v>
      </c>
    </row>
    <row r="56" spans="1:11" ht="24" customHeight="1" x14ac:dyDescent="0.35">
      <c r="A56" s="11" t="s">
        <v>150</v>
      </c>
      <c r="B56" s="11"/>
      <c r="C56" s="11"/>
      <c r="D56" s="11"/>
      <c r="E56" s="11"/>
      <c r="F56" s="11"/>
      <c r="G56" s="11"/>
      <c r="H56" s="11"/>
      <c r="I56" s="11"/>
      <c r="J56" s="11"/>
      <c r="K56" s="11"/>
    </row>
    <row r="58" spans="1:11" x14ac:dyDescent="0.35">
      <c r="A58" s="2" t="s">
        <v>151</v>
      </c>
      <c r="B58" s="5">
        <f>B52</f>
        <v>25214.774309420238</v>
      </c>
      <c r="D58" s="5">
        <f>D52</f>
        <v>43958.634567561821</v>
      </c>
    </row>
    <row r="59" spans="1:11" x14ac:dyDescent="0.35">
      <c r="A59" s="2" t="s">
        <v>152</v>
      </c>
      <c r="B59" s="5">
        <f>Capital!B7+Capital!B8</f>
        <v>2738.4</v>
      </c>
      <c r="D59" s="5">
        <f>Capital!B7+Capital!B8</f>
        <v>2738.4</v>
      </c>
    </row>
    <row r="60" spans="1:11" x14ac:dyDescent="0.35">
      <c r="A60" s="2" t="s">
        <v>153</v>
      </c>
      <c r="B60" s="5">
        <f>Capital!B33</f>
        <v>1647.1</v>
      </c>
      <c r="D60" s="5">
        <f>Capital!B33</f>
        <v>1647.1</v>
      </c>
    </row>
    <row r="61" spans="1:11" x14ac:dyDescent="0.35">
      <c r="A61" s="2" t="s">
        <v>154</v>
      </c>
      <c r="B61" s="5">
        <f>Capital!B19+Capital!B20</f>
        <v>0</v>
      </c>
      <c r="D61" s="5">
        <f>Capital!B19+Capital!B20</f>
        <v>0</v>
      </c>
    </row>
    <row r="62" spans="1:11" x14ac:dyDescent="0.35">
      <c r="A62" s="2" t="s">
        <v>155</v>
      </c>
      <c r="B62" s="5">
        <f>B58+B59-B60-B61</f>
        <v>26306.074309420241</v>
      </c>
      <c r="D62" s="5">
        <f>D58+D59-D60-D61</f>
        <v>45049.934567561824</v>
      </c>
    </row>
    <row r="63" spans="1:11" x14ac:dyDescent="0.35">
      <c r="A63" s="2" t="s">
        <v>156</v>
      </c>
      <c r="B63" s="5">
        <f>Capital!B18</f>
        <v>94.498187128613154</v>
      </c>
      <c r="D63" s="5">
        <f>Capital!B18</f>
        <v>94.498187128613154</v>
      </c>
    </row>
    <row r="64" spans="1:11" x14ac:dyDescent="0.35">
      <c r="A64" s="2" t="s">
        <v>157</v>
      </c>
      <c r="B64" s="5">
        <f>IF(B66&gt;Capital!C25,Capital!D25-Capital!B25/B66,0)+IF(B66&gt;Capital!C26,Capital!D26-Capital!B26/B66,0)+IF(B66&gt;Capital!C27,Capital!D27-Capital!B27/B66,0)+IF(B66&gt;Capital!C28,Capital!D28-Capital!B28/B66,0)</f>
        <v>3.6499336082114087</v>
      </c>
      <c r="D64" s="5">
        <f>IF(D66&gt;Capital!C25,Capital!D25-Capital!B25/D66,0)+IF(D66&gt;Capital!C26,Capital!D26-Capital!B26/D66,0)+IF(D66&gt;Capital!C27,Capital!D27-Capital!B27/D66,0)+IF(D66&gt;Capital!C28,Capital!D28-Capital!B28/D66,0)</f>
        <v>5.9822875211923998</v>
      </c>
    </row>
    <row r="65" spans="1:11" x14ac:dyDescent="0.35">
      <c r="A65" s="2" t="s">
        <v>158</v>
      </c>
      <c r="B65" s="5">
        <f>B63+B64</f>
        <v>98.148120736824566</v>
      </c>
      <c r="D65" s="5">
        <f>D63+D64</f>
        <v>100.48047464980556</v>
      </c>
    </row>
    <row r="66" spans="1:11" ht="15.5" x14ac:dyDescent="0.35">
      <c r="A66" s="2" t="s">
        <v>159</v>
      </c>
      <c r="B66" s="3">
        <f>IF(G71&lt;H71,G71,IF(G72&lt;H72,G72,IF(G73&lt;H73,G73,IF(G74&lt;H74,G74,G75))))</f>
        <v>268.02422819645864</v>
      </c>
      <c r="D66" s="3">
        <f>IF(I71&lt;J71,I71,IF(I72&lt;J72,I72,IF(I73&lt;J73,I73,IF(I74&lt;J74,I74,I75))))</f>
        <v>448.34516083418009</v>
      </c>
    </row>
    <row r="67" spans="1:11" x14ac:dyDescent="0.35">
      <c r="A67" s="2" t="s">
        <v>160</v>
      </c>
      <c r="B67" s="4">
        <f>B66/Capital!B16-1</f>
        <v>-0.70006576896357631</v>
      </c>
      <c r="D67" s="4">
        <f>D66/Capital!B16-1</f>
        <v>-0.4982764731435636</v>
      </c>
    </row>
    <row r="69" spans="1:11" ht="52" customHeight="1" x14ac:dyDescent="0.35">
      <c r="A69" s="10" t="s">
        <v>161</v>
      </c>
      <c r="B69" s="10"/>
      <c r="C69" s="10"/>
      <c r="D69" s="10"/>
      <c r="E69" s="10"/>
      <c r="F69" s="10"/>
      <c r="G69" s="10"/>
      <c r="H69" s="10"/>
      <c r="I69" s="10"/>
      <c r="J69" s="10"/>
      <c r="K69" s="10"/>
    </row>
    <row r="70" spans="1:11" ht="8" customHeight="1" x14ac:dyDescent="0.35"/>
    <row r="71" spans="1:11" x14ac:dyDescent="0.35">
      <c r="G71" s="5">
        <f>(B52+Capital!B32-Capital!B19-Capital!B20-(Capital!B27+Capital!B25+Capital!B26+Capital!B28))/(Capital!B18+0)</f>
        <v>278.3764970392221</v>
      </c>
      <c r="H71" s="5">
        <f>Capital!C27</f>
        <v>69.540000000000006</v>
      </c>
      <c r="I71" s="5">
        <f>(D52+Capital!B32-Capital!B19-Capital!B20-(Capital!B27+Capital!B25+Capital!B26+Capital!B28))/(Capital!B18+0)</f>
        <v>476.72802977953768</v>
      </c>
      <c r="J71" s="5">
        <f>Capital!C27</f>
        <v>69.540000000000006</v>
      </c>
    </row>
    <row r="72" spans="1:11" x14ac:dyDescent="0.35">
      <c r="G72" s="5">
        <f>(B52+Capital!B32-Capital!B19-Capital!B20-(Capital!B25+Capital!B26+Capital!B28))/(Capital!B18+Capital!D27)</f>
        <v>276.64625287844837</v>
      </c>
      <c r="H72" s="5">
        <f>Capital!C25</f>
        <v>99.29</v>
      </c>
      <c r="I72" s="5">
        <f>(D52+Capital!B32-Capital!B19-Capital!B20-(Capital!B25+Capital!B26+Capital!B28))/(Capital!B18+Capital!D27)</f>
        <v>473.35441108332543</v>
      </c>
      <c r="J72" s="5">
        <f>Capital!C25</f>
        <v>99.29</v>
      </c>
    </row>
    <row r="73" spans="1:11" x14ac:dyDescent="0.35">
      <c r="G73" s="5">
        <f>(B52+Capital!B32-Capital!B19-Capital!B20-(Capital!B26+Capital!B28))/(Capital!B18+Capital!D27+Capital!D25)</f>
        <v>275.62489803416179</v>
      </c>
      <c r="H73" s="5">
        <f>Capital!C26</f>
        <v>131.03</v>
      </c>
      <c r="I73" s="5">
        <f>(D52+Capital!B32-Capital!B19-Capital!B20-(Capital!B26+Capital!B28))/(Capital!B18+Capital!D27+Capital!D25)</f>
        <v>471.20025811643217</v>
      </c>
      <c r="J73" s="5">
        <f>Capital!C26</f>
        <v>131.03</v>
      </c>
    </row>
    <row r="74" spans="1:11" x14ac:dyDescent="0.35">
      <c r="G74" s="5">
        <f>(B52+Capital!B32-Capital!B19-Capital!B20-(Capital!B28))/(Capital!B18+Capital!D27+Capital!D25+Capital!D26)</f>
        <v>273.58608939440433</v>
      </c>
      <c r="H74" s="5">
        <f>Capital!C28</f>
        <v>187.77</v>
      </c>
      <c r="I74" s="5">
        <f>(D52+Capital!B32-Capital!B19-Capital!B20-(Capital!B28))/(Capital!B18+Capital!D27+Capital!D25+Capital!D26)</f>
        <v>466.40380906694747</v>
      </c>
      <c r="J74" s="5">
        <f>Capital!C28</f>
        <v>187.77</v>
      </c>
    </row>
    <row r="75" spans="1:11" x14ac:dyDescent="0.35">
      <c r="G75" s="5">
        <f>(B52+Capital!B32-Capital!B19-Capital!B20-(0))/(Capital!B18+Capital!D27+Capital!D25+Capital!D26+Capital!D28)</f>
        <v>268.02422819645864</v>
      </c>
      <c r="I75" s="5">
        <f>(D52+Capital!B32-Capital!B19-Capital!B20-(0))/(Capital!B18+Capital!D27+Capital!D25+Capital!D26+Capital!D28)</f>
        <v>448.34516083418009</v>
      </c>
    </row>
  </sheetData>
  <mergeCells count="6">
    <mergeCell ref="A69:K69"/>
    <mergeCell ref="A1:K2"/>
    <mergeCell ref="A3:K3"/>
    <mergeCell ref="A5:K5"/>
    <mergeCell ref="A41:K41"/>
    <mergeCell ref="A56:K56"/>
  </mergeCells>
  <pageMargins left="0.7" right="0.7" top="0.75" bottom="0.75" header="0.3" footer="0.3"/>
  <pageSetup paperSize="9" fitToHeight="0" orientation="landscape"/>
  <headerFooter>
    <oddFooter>&amp;LAI-assisted; sources and assumptions disclosed&amp;R&amp;P / &amp;N</oddFooter>
  </headerFooter>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pageSetUpPr fitToPage="1"/>
  </sheetPr>
  <dimension ref="A1:K75"/>
  <sheetViews>
    <sheetView showGridLines="0" zoomScale="90" zoomScaleNormal="90" workbookViewId="0">
      <pane xSplit="1" ySplit="6" topLeftCell="B7" activePane="bottomRight" state="frozen"/>
      <selection pane="topRight" activeCell="B1" sqref="B1"/>
      <selection pane="bottomLeft" activeCell="A7" sqref="A7"/>
      <selection pane="bottomRight"/>
    </sheetView>
  </sheetViews>
  <sheetFormatPr defaultRowHeight="14.5" x14ac:dyDescent="0.35"/>
  <cols>
    <col min="1" max="1" width="40.7265625" customWidth="1"/>
    <col min="2" max="11" width="14.7265625" customWidth="1"/>
  </cols>
  <sheetData>
    <row r="1" spans="1:11" x14ac:dyDescent="0.35">
      <c r="A1" s="9" t="s">
        <v>6</v>
      </c>
      <c r="B1" s="9"/>
      <c r="C1" s="9"/>
      <c r="D1" s="9"/>
      <c r="E1" s="9"/>
      <c r="F1" s="9"/>
      <c r="G1" s="9"/>
      <c r="H1" s="9"/>
      <c r="I1" s="9"/>
      <c r="J1" s="9"/>
      <c r="K1" s="9"/>
    </row>
    <row r="2" spans="1:11" x14ac:dyDescent="0.35">
      <c r="A2" s="9"/>
      <c r="B2" s="9"/>
      <c r="C2" s="9"/>
      <c r="D2" s="9"/>
      <c r="E2" s="9"/>
      <c r="F2" s="9"/>
      <c r="G2" s="9"/>
      <c r="H2" s="9"/>
      <c r="I2" s="9"/>
      <c r="J2" s="9"/>
      <c r="K2" s="9"/>
    </row>
    <row r="3" spans="1:11" x14ac:dyDescent="0.35">
      <c r="A3" s="10" t="s">
        <v>1</v>
      </c>
      <c r="B3" s="10"/>
      <c r="C3" s="10"/>
      <c r="D3" s="10"/>
      <c r="E3" s="10"/>
      <c r="F3" s="10"/>
      <c r="G3" s="10"/>
      <c r="H3" s="10"/>
      <c r="I3" s="10"/>
      <c r="J3" s="10"/>
      <c r="K3" s="10"/>
    </row>
    <row r="5" spans="1:11" ht="24" customHeight="1" x14ac:dyDescent="0.35">
      <c r="A5" s="11" t="s">
        <v>163</v>
      </c>
      <c r="B5" s="11"/>
      <c r="C5" s="11"/>
      <c r="D5" s="11"/>
      <c r="E5" s="11"/>
      <c r="F5" s="11"/>
      <c r="G5" s="11"/>
      <c r="H5" s="11"/>
      <c r="I5" s="11"/>
      <c r="J5" s="11"/>
      <c r="K5" s="11"/>
    </row>
    <row r="6" spans="1:11" x14ac:dyDescent="0.35">
      <c r="B6" s="1" t="s">
        <v>76</v>
      </c>
      <c r="C6" s="1" t="s">
        <v>77</v>
      </c>
      <c r="D6" s="1" t="s">
        <v>78</v>
      </c>
      <c r="E6" s="1" t="s">
        <v>79</v>
      </c>
      <c r="F6" s="1" t="s">
        <v>80</v>
      </c>
      <c r="G6" s="1" t="s">
        <v>81</v>
      </c>
      <c r="H6" s="1" t="s">
        <v>82</v>
      </c>
      <c r="I6" s="1" t="s">
        <v>83</v>
      </c>
      <c r="J6" s="1" t="s">
        <v>84</v>
      </c>
      <c r="K6" s="1" t="s">
        <v>85</v>
      </c>
    </row>
    <row r="8" spans="1:11" x14ac:dyDescent="0.35">
      <c r="A8" s="2" t="s">
        <v>107</v>
      </c>
      <c r="B8" s="7">
        <v>0.92912802690663954</v>
      </c>
      <c r="C8" s="7">
        <v>0.2</v>
      </c>
      <c r="D8" s="7">
        <v>0.14999999999999991</v>
      </c>
      <c r="E8" s="7">
        <v>0.1000000000000001</v>
      </c>
      <c r="F8" s="7">
        <v>8.0000000000000071E-2</v>
      </c>
      <c r="G8" s="7">
        <v>6.0000000000000053E-2</v>
      </c>
      <c r="H8" s="7">
        <v>5.0000000000000037E-2</v>
      </c>
      <c r="I8" s="7">
        <v>4.0000000000000042E-2</v>
      </c>
      <c r="J8" s="7">
        <v>3.000000000000003E-2</v>
      </c>
      <c r="K8" s="7">
        <v>3.000000000000003E-2</v>
      </c>
    </row>
    <row r="9" spans="1:11" x14ac:dyDescent="0.35">
      <c r="A9" s="2" t="s">
        <v>108</v>
      </c>
      <c r="B9" s="7">
        <v>5.7297385222235819E-2</v>
      </c>
      <c r="C9" s="7">
        <v>0</v>
      </c>
      <c r="D9" s="7">
        <v>2.0000000000000021E-2</v>
      </c>
      <c r="E9" s="7">
        <v>3.000000000000003E-2</v>
      </c>
      <c r="F9" s="7">
        <v>3.000000000000003E-2</v>
      </c>
      <c r="G9" s="7">
        <v>3.000000000000003E-2</v>
      </c>
      <c r="H9" s="7">
        <v>3.000000000000003E-2</v>
      </c>
      <c r="I9" s="7">
        <v>3.000000000000003E-2</v>
      </c>
      <c r="J9" s="7">
        <v>3.000000000000003E-2</v>
      </c>
      <c r="K9" s="7">
        <v>3.000000000000003E-2</v>
      </c>
    </row>
    <row r="10" spans="1:11" x14ac:dyDescent="0.35">
      <c r="A10" s="2" t="s">
        <v>109</v>
      </c>
      <c r="B10" s="7">
        <v>0.35</v>
      </c>
      <c r="C10" s="7">
        <v>0.34</v>
      </c>
      <c r="D10" s="7">
        <v>0.33</v>
      </c>
      <c r="E10" s="7">
        <v>0.32</v>
      </c>
      <c r="F10" s="7">
        <v>0.31</v>
      </c>
      <c r="G10" s="7">
        <v>0.28999999999999998</v>
      </c>
      <c r="H10" s="7">
        <v>0.27500000000000002</v>
      </c>
      <c r="I10" s="7">
        <v>0.26</v>
      </c>
      <c r="J10" s="7">
        <v>0.25</v>
      </c>
      <c r="K10" s="7">
        <v>0.25</v>
      </c>
    </row>
    <row r="11" spans="1:11" x14ac:dyDescent="0.35">
      <c r="A11" s="2" t="s">
        <v>110</v>
      </c>
      <c r="B11" s="7">
        <v>4.4999999999999998E-2</v>
      </c>
      <c r="C11" s="7">
        <v>4.4999999999999998E-2</v>
      </c>
      <c r="D11" s="7">
        <v>4.4999999999999998E-2</v>
      </c>
      <c r="E11" s="7">
        <v>4.4999999999999998E-2</v>
      </c>
      <c r="F11" s="7">
        <v>4.4999999999999998E-2</v>
      </c>
      <c r="G11" s="7">
        <v>4.4999999999999998E-2</v>
      </c>
      <c r="H11" s="7">
        <v>4.4999999999999998E-2</v>
      </c>
      <c r="I11" s="7">
        <v>4.4999999999999998E-2</v>
      </c>
      <c r="J11" s="7">
        <v>4.4999999999999998E-2</v>
      </c>
      <c r="K11" s="7">
        <v>4.4999999999999998E-2</v>
      </c>
    </row>
    <row r="12" spans="1:11" x14ac:dyDescent="0.35">
      <c r="A12" s="2" t="s">
        <v>111</v>
      </c>
      <c r="B12" s="4">
        <f>WACC!$B$19</f>
        <v>0.2</v>
      </c>
      <c r="C12" s="4">
        <f>WACC!$B$19</f>
        <v>0.2</v>
      </c>
      <c r="D12" s="4">
        <f>WACC!$B$19</f>
        <v>0.2</v>
      </c>
      <c r="E12" s="4">
        <f>WACC!$B$19</f>
        <v>0.2</v>
      </c>
      <c r="F12" s="4">
        <f>WACC!$B$19</f>
        <v>0.2</v>
      </c>
      <c r="G12" s="4">
        <f>WACC!$B$19</f>
        <v>0.2</v>
      </c>
      <c r="H12" s="4">
        <f>WACC!$B$19</f>
        <v>0.2</v>
      </c>
      <c r="I12" s="4">
        <f>WACC!$B$19</f>
        <v>0.2</v>
      </c>
      <c r="J12" s="4">
        <f>WACC!$B$19</f>
        <v>0.2</v>
      </c>
      <c r="K12" s="4">
        <f>WACC!$B$19</f>
        <v>0.2</v>
      </c>
    </row>
    <row r="13" spans="1:11" x14ac:dyDescent="0.35">
      <c r="A13" s="2" t="s">
        <v>112</v>
      </c>
      <c r="B13" s="7">
        <v>0.04</v>
      </c>
      <c r="C13" s="7">
        <v>4.4999999999999998E-2</v>
      </c>
      <c r="D13" s="7">
        <v>0.05</v>
      </c>
      <c r="E13" s="7">
        <v>5.5E-2</v>
      </c>
      <c r="F13" s="7">
        <v>5.5E-2</v>
      </c>
      <c r="G13" s="7">
        <v>5.5E-2</v>
      </c>
      <c r="H13" s="7">
        <v>5.5E-2</v>
      </c>
      <c r="I13" s="7">
        <v>5.5E-2</v>
      </c>
      <c r="J13" s="7">
        <v>5.5E-2</v>
      </c>
      <c r="K13" s="7">
        <v>5.5E-2</v>
      </c>
    </row>
    <row r="14" spans="1:11" x14ac:dyDescent="0.35">
      <c r="A14" s="2" t="s">
        <v>113</v>
      </c>
      <c r="B14" s="7">
        <v>0.13</v>
      </c>
      <c r="C14" s="7">
        <v>0.11</v>
      </c>
      <c r="D14" s="7">
        <v>9.5000000000000001E-2</v>
      </c>
      <c r="E14" s="7">
        <v>0.08</v>
      </c>
      <c r="F14" s="7">
        <v>7.4999999999999997E-2</v>
      </c>
      <c r="G14" s="7">
        <v>7.0000000000000007E-2</v>
      </c>
      <c r="H14" s="7">
        <v>6.5000000000000002E-2</v>
      </c>
      <c r="I14" s="7">
        <v>0.06</v>
      </c>
      <c r="J14" s="7">
        <v>0.06</v>
      </c>
      <c r="K14" s="7">
        <v>0.06</v>
      </c>
    </row>
    <row r="15" spans="1:11" x14ac:dyDescent="0.35">
      <c r="A15" s="2" t="s">
        <v>114</v>
      </c>
      <c r="B15" s="7">
        <v>0.22</v>
      </c>
      <c r="C15" s="7">
        <v>0.22</v>
      </c>
      <c r="D15" s="7">
        <v>0.22</v>
      </c>
      <c r="E15" s="7">
        <v>0.22</v>
      </c>
      <c r="F15" s="7">
        <v>0.22</v>
      </c>
      <c r="G15" s="7">
        <v>0.22</v>
      </c>
      <c r="H15" s="7">
        <v>0.22</v>
      </c>
      <c r="I15" s="7">
        <v>0.22</v>
      </c>
      <c r="J15" s="7">
        <v>0.22</v>
      </c>
      <c r="K15" s="7">
        <v>0.22</v>
      </c>
    </row>
    <row r="18" spans="1:11" x14ac:dyDescent="0.35">
      <c r="A18" s="2" t="s">
        <v>115</v>
      </c>
      <c r="B18" s="6">
        <v>5340</v>
      </c>
      <c r="C18" s="5">
        <f t="shared" ref="C18:K18" si="0">B18*(1+C8)</f>
        <v>6408</v>
      </c>
      <c r="D18" s="5">
        <f t="shared" si="0"/>
        <v>7369.2</v>
      </c>
      <c r="E18" s="5">
        <f t="shared" si="0"/>
        <v>8106.1200000000008</v>
      </c>
      <c r="F18" s="5">
        <f t="shared" si="0"/>
        <v>8754.6096000000016</v>
      </c>
      <c r="G18" s="5">
        <f t="shared" si="0"/>
        <v>9279.8861760000018</v>
      </c>
      <c r="H18" s="5">
        <f t="shared" si="0"/>
        <v>9743.8804848000018</v>
      </c>
      <c r="I18" s="5">
        <f t="shared" si="0"/>
        <v>10133.635704192002</v>
      </c>
      <c r="J18" s="5">
        <f t="shared" si="0"/>
        <v>10437.644775317762</v>
      </c>
      <c r="K18" s="5">
        <f t="shared" si="0"/>
        <v>10750.774118577296</v>
      </c>
    </row>
    <row r="19" spans="1:11" x14ac:dyDescent="0.35">
      <c r="A19" s="2" t="s">
        <v>116</v>
      </c>
      <c r="B19" s="6">
        <v>260</v>
      </c>
      <c r="C19" s="5">
        <f t="shared" ref="C19:K19" si="1">B19*(1+C9)</f>
        <v>260</v>
      </c>
      <c r="D19" s="5">
        <f t="shared" si="1"/>
        <v>265.2</v>
      </c>
      <c r="E19" s="5">
        <f t="shared" si="1"/>
        <v>273.15600000000001</v>
      </c>
      <c r="F19" s="5">
        <f t="shared" si="1"/>
        <v>281.35068000000001</v>
      </c>
      <c r="G19" s="5">
        <f t="shared" si="1"/>
        <v>289.79120040000004</v>
      </c>
      <c r="H19" s="5">
        <f t="shared" si="1"/>
        <v>298.48493641200002</v>
      </c>
      <c r="I19" s="5">
        <f t="shared" si="1"/>
        <v>307.43948450436005</v>
      </c>
      <c r="J19" s="5">
        <f t="shared" si="1"/>
        <v>316.66266903949088</v>
      </c>
      <c r="K19" s="5">
        <f t="shared" si="1"/>
        <v>326.16254911067563</v>
      </c>
    </row>
    <row r="20" spans="1:11" x14ac:dyDescent="0.35">
      <c r="A20" s="2" t="s">
        <v>117</v>
      </c>
      <c r="B20" s="8">
        <f t="shared" ref="B20:K20" si="2">B18+B19</f>
        <v>5600</v>
      </c>
      <c r="C20" s="8">
        <f t="shared" si="2"/>
        <v>6668</v>
      </c>
      <c r="D20" s="8">
        <f t="shared" si="2"/>
        <v>7634.4</v>
      </c>
      <c r="E20" s="8">
        <f t="shared" si="2"/>
        <v>8379.2760000000017</v>
      </c>
      <c r="F20" s="8">
        <f t="shared" si="2"/>
        <v>9035.9602800000011</v>
      </c>
      <c r="G20" s="8">
        <f t="shared" si="2"/>
        <v>9569.6773764000027</v>
      </c>
      <c r="H20" s="8">
        <f t="shared" si="2"/>
        <v>10042.365421212002</v>
      </c>
      <c r="I20" s="8">
        <f t="shared" si="2"/>
        <v>10441.075188696363</v>
      </c>
      <c r="J20" s="8">
        <f t="shared" si="2"/>
        <v>10754.307444357253</v>
      </c>
      <c r="K20" s="8">
        <f t="shared" si="2"/>
        <v>11076.936667687971</v>
      </c>
    </row>
    <row r="21" spans="1:11" x14ac:dyDescent="0.35">
      <c r="A21" s="2" t="s">
        <v>118</v>
      </c>
      <c r="B21" s="4">
        <f>B20/Segments!$B$24-1</f>
        <v>0.85799601857996022</v>
      </c>
      <c r="C21" s="4">
        <f t="shared" ref="C21:K21" si="3">C20/B20-1</f>
        <v>0.19071428571428561</v>
      </c>
      <c r="D21" s="4">
        <f t="shared" si="3"/>
        <v>0.1449310137972406</v>
      </c>
      <c r="E21" s="4">
        <f t="shared" si="3"/>
        <v>9.756837472492963E-2</v>
      </c>
      <c r="F21" s="4">
        <f t="shared" si="3"/>
        <v>7.8370050109341172E-2</v>
      </c>
      <c r="G21" s="4">
        <f t="shared" si="3"/>
        <v>5.9065896690728037E-2</v>
      </c>
      <c r="H21" s="4">
        <f t="shared" si="3"/>
        <v>4.9394355339262175E-2</v>
      </c>
      <c r="I21" s="4">
        <f t="shared" si="3"/>
        <v>3.9702774272900365E-2</v>
      </c>
      <c r="J21" s="4">
        <f t="shared" si="3"/>
        <v>3.0000000000000027E-2</v>
      </c>
      <c r="K21" s="4">
        <f t="shared" si="3"/>
        <v>3.0000000000000027E-2</v>
      </c>
    </row>
    <row r="23" spans="1:11" x14ac:dyDescent="0.35">
      <c r="A23" s="2" t="s">
        <v>119</v>
      </c>
      <c r="B23" s="5">
        <f t="shared" ref="B23:K23" si="4">B20*B10</f>
        <v>1959.9999999999998</v>
      </c>
      <c r="C23" s="5">
        <f t="shared" si="4"/>
        <v>2267.1200000000003</v>
      </c>
      <c r="D23" s="5">
        <f t="shared" si="4"/>
        <v>2519.3519999999999</v>
      </c>
      <c r="E23" s="5">
        <f t="shared" si="4"/>
        <v>2681.3683200000005</v>
      </c>
      <c r="F23" s="5">
        <f t="shared" si="4"/>
        <v>2801.1476868000004</v>
      </c>
      <c r="G23" s="5">
        <f t="shared" si="4"/>
        <v>2775.2064391560007</v>
      </c>
      <c r="H23" s="5">
        <f t="shared" si="4"/>
        <v>2761.6504908333009</v>
      </c>
      <c r="I23" s="5">
        <f t="shared" si="4"/>
        <v>2714.6795490610543</v>
      </c>
      <c r="J23" s="5">
        <f t="shared" si="4"/>
        <v>2688.5768610893133</v>
      </c>
      <c r="K23" s="5">
        <f t="shared" si="4"/>
        <v>2769.2341669219927</v>
      </c>
    </row>
    <row r="24" spans="1:11" x14ac:dyDescent="0.35">
      <c r="A24" s="2" t="s">
        <v>120</v>
      </c>
      <c r="B24" s="5">
        <f t="shared" ref="B24:K24" si="5">B20*B11</f>
        <v>252</v>
      </c>
      <c r="C24" s="5">
        <f t="shared" si="5"/>
        <v>300.06</v>
      </c>
      <c r="D24" s="5">
        <f t="shared" si="5"/>
        <v>343.54799999999994</v>
      </c>
      <c r="E24" s="5">
        <f t="shared" si="5"/>
        <v>377.06742000000008</v>
      </c>
      <c r="F24" s="5">
        <f t="shared" si="5"/>
        <v>406.61821260000005</v>
      </c>
      <c r="G24" s="5">
        <f t="shared" si="5"/>
        <v>430.63548193800011</v>
      </c>
      <c r="H24" s="5">
        <f t="shared" si="5"/>
        <v>451.90644395454007</v>
      </c>
      <c r="I24" s="5">
        <f t="shared" si="5"/>
        <v>469.84838349133628</v>
      </c>
      <c r="J24" s="5">
        <f t="shared" si="5"/>
        <v>483.94383499607636</v>
      </c>
      <c r="K24" s="5">
        <f t="shared" si="5"/>
        <v>498.46215004595865</v>
      </c>
    </row>
    <row r="25" spans="1:11" x14ac:dyDescent="0.35">
      <c r="A25" s="2" t="s">
        <v>121</v>
      </c>
      <c r="B25" s="8">
        <f t="shared" ref="B25:K25" si="6">B23-B24</f>
        <v>1707.9999999999998</v>
      </c>
      <c r="C25" s="8">
        <f t="shared" si="6"/>
        <v>1967.0600000000004</v>
      </c>
      <c r="D25" s="8">
        <f t="shared" si="6"/>
        <v>2175.8040000000001</v>
      </c>
      <c r="E25" s="8">
        <f t="shared" si="6"/>
        <v>2304.3009000000002</v>
      </c>
      <c r="F25" s="8">
        <f t="shared" si="6"/>
        <v>2394.5294742000005</v>
      </c>
      <c r="G25" s="8">
        <f t="shared" si="6"/>
        <v>2344.5709572180003</v>
      </c>
      <c r="H25" s="8">
        <f t="shared" si="6"/>
        <v>2309.7440468787609</v>
      </c>
      <c r="I25" s="8">
        <f t="shared" si="6"/>
        <v>2244.831165569718</v>
      </c>
      <c r="J25" s="8">
        <f t="shared" si="6"/>
        <v>2204.6330260932368</v>
      </c>
      <c r="K25" s="8">
        <f t="shared" si="6"/>
        <v>2270.7720168760343</v>
      </c>
    </row>
    <row r="26" spans="1:11" x14ac:dyDescent="0.35">
      <c r="A26" s="2" t="s">
        <v>122</v>
      </c>
      <c r="B26" s="5">
        <f t="shared" ref="B26:K26" si="7">B25*B12</f>
        <v>341.59999999999997</v>
      </c>
      <c r="C26" s="5">
        <f t="shared" si="7"/>
        <v>393.41200000000009</v>
      </c>
      <c r="D26" s="5">
        <f t="shared" si="7"/>
        <v>435.16080000000005</v>
      </c>
      <c r="E26" s="5">
        <f t="shared" si="7"/>
        <v>460.86018000000007</v>
      </c>
      <c r="F26" s="5">
        <f t="shared" si="7"/>
        <v>478.90589484000014</v>
      </c>
      <c r="G26" s="5">
        <f t="shared" si="7"/>
        <v>468.91419144360009</v>
      </c>
      <c r="H26" s="5">
        <f t="shared" si="7"/>
        <v>461.94880937575221</v>
      </c>
      <c r="I26" s="5">
        <f t="shared" si="7"/>
        <v>448.96623311394364</v>
      </c>
      <c r="J26" s="5">
        <f t="shared" si="7"/>
        <v>440.92660521864741</v>
      </c>
      <c r="K26" s="5">
        <f t="shared" si="7"/>
        <v>454.15440337520687</v>
      </c>
    </row>
    <row r="27" spans="1:11" x14ac:dyDescent="0.35">
      <c r="A27" s="2" t="s">
        <v>123</v>
      </c>
      <c r="B27" s="5">
        <f t="shared" ref="B27:K27" si="8">B25-B26</f>
        <v>1366.3999999999999</v>
      </c>
      <c r="C27" s="5">
        <f t="shared" si="8"/>
        <v>1573.6480000000004</v>
      </c>
      <c r="D27" s="5">
        <f t="shared" si="8"/>
        <v>1740.6432</v>
      </c>
      <c r="E27" s="5">
        <f t="shared" si="8"/>
        <v>1843.4407200000001</v>
      </c>
      <c r="F27" s="5">
        <f t="shared" si="8"/>
        <v>1915.6235793600003</v>
      </c>
      <c r="G27" s="5">
        <f t="shared" si="8"/>
        <v>1875.6567657744004</v>
      </c>
      <c r="H27" s="5">
        <f t="shared" si="8"/>
        <v>1847.7952375030086</v>
      </c>
      <c r="I27" s="5">
        <f t="shared" si="8"/>
        <v>1795.8649324557744</v>
      </c>
      <c r="J27" s="5">
        <f t="shared" si="8"/>
        <v>1763.7064208745894</v>
      </c>
      <c r="K27" s="5">
        <f t="shared" si="8"/>
        <v>1816.6176135008275</v>
      </c>
    </row>
    <row r="28" spans="1:11" x14ac:dyDescent="0.35">
      <c r="A28" s="2" t="s">
        <v>124</v>
      </c>
      <c r="B28" s="5">
        <f t="shared" ref="B28:K28" si="9">B20*B13</f>
        <v>224</v>
      </c>
      <c r="C28" s="5">
        <f t="shared" si="9"/>
        <v>300.06</v>
      </c>
      <c r="D28" s="5">
        <f t="shared" si="9"/>
        <v>381.72</v>
      </c>
      <c r="E28" s="5">
        <f t="shared" si="9"/>
        <v>460.86018000000007</v>
      </c>
      <c r="F28" s="5">
        <f t="shared" si="9"/>
        <v>496.97781540000005</v>
      </c>
      <c r="G28" s="5">
        <f t="shared" si="9"/>
        <v>526.33225570200011</v>
      </c>
      <c r="H28" s="5">
        <f t="shared" si="9"/>
        <v>552.33009816666015</v>
      </c>
      <c r="I28" s="5">
        <f t="shared" si="9"/>
        <v>574.2591353782999</v>
      </c>
      <c r="J28" s="5">
        <f t="shared" si="9"/>
        <v>591.48690943964891</v>
      </c>
      <c r="K28" s="5">
        <f t="shared" si="9"/>
        <v>609.23151672283836</v>
      </c>
    </row>
    <row r="29" spans="1:11" x14ac:dyDescent="0.35">
      <c r="A29" s="2" t="s">
        <v>125</v>
      </c>
      <c r="B29" s="5">
        <f t="shared" ref="B29:K29" si="10">B20*B14</f>
        <v>728</v>
      </c>
      <c r="C29" s="5">
        <f t="shared" si="10"/>
        <v>733.48</v>
      </c>
      <c r="D29" s="5">
        <f t="shared" si="10"/>
        <v>725.26800000000003</v>
      </c>
      <c r="E29" s="5">
        <f t="shared" si="10"/>
        <v>670.34208000000012</v>
      </c>
      <c r="F29" s="5">
        <f t="shared" si="10"/>
        <v>677.69702100000006</v>
      </c>
      <c r="G29" s="5">
        <f t="shared" si="10"/>
        <v>669.87741634800022</v>
      </c>
      <c r="H29" s="5">
        <f t="shared" si="10"/>
        <v>652.75375237878018</v>
      </c>
      <c r="I29" s="5">
        <f t="shared" si="10"/>
        <v>626.46451132178174</v>
      </c>
      <c r="J29" s="5">
        <f t="shared" si="10"/>
        <v>645.25844666143519</v>
      </c>
      <c r="K29" s="5">
        <f t="shared" si="10"/>
        <v>664.61620006127828</v>
      </c>
    </row>
    <row r="30" spans="1:11" x14ac:dyDescent="0.35">
      <c r="A30" s="2" t="s">
        <v>126</v>
      </c>
      <c r="B30" s="5">
        <f t="shared" ref="B30:K30" si="11">B20*B15</f>
        <v>1232</v>
      </c>
      <c r="C30" s="5">
        <f t="shared" si="11"/>
        <v>1466.96</v>
      </c>
      <c r="D30" s="5">
        <f t="shared" si="11"/>
        <v>1679.568</v>
      </c>
      <c r="E30" s="5">
        <f t="shared" si="11"/>
        <v>1843.4407200000003</v>
      </c>
      <c r="F30" s="5">
        <f t="shared" si="11"/>
        <v>1987.9112616000002</v>
      </c>
      <c r="G30" s="5">
        <f t="shared" si="11"/>
        <v>2105.3290228080004</v>
      </c>
      <c r="H30" s="5">
        <f t="shared" si="11"/>
        <v>2209.3203926666406</v>
      </c>
      <c r="I30" s="5">
        <f t="shared" si="11"/>
        <v>2297.0365415131996</v>
      </c>
      <c r="J30" s="5">
        <f t="shared" si="11"/>
        <v>2365.9476377585956</v>
      </c>
      <c r="K30" s="5">
        <f t="shared" si="11"/>
        <v>2436.9260668913535</v>
      </c>
    </row>
    <row r="31" spans="1:11" x14ac:dyDescent="0.35">
      <c r="A31" s="2" t="s">
        <v>127</v>
      </c>
      <c r="B31" s="5">
        <f>B30-Capital!$B$21</f>
        <v>678.6</v>
      </c>
      <c r="C31" s="5">
        <f t="shared" ref="C31:K31" si="12">C30-B30</f>
        <v>234.96000000000004</v>
      </c>
      <c r="D31" s="5">
        <f t="shared" si="12"/>
        <v>212.60799999999995</v>
      </c>
      <c r="E31" s="5">
        <f t="shared" si="12"/>
        <v>163.8727200000003</v>
      </c>
      <c r="F31" s="5">
        <f t="shared" si="12"/>
        <v>144.47054159999993</v>
      </c>
      <c r="G31" s="5">
        <f t="shared" si="12"/>
        <v>117.41776120800023</v>
      </c>
      <c r="H31" s="5">
        <f t="shared" si="12"/>
        <v>103.99136985864016</v>
      </c>
      <c r="I31" s="5">
        <f t="shared" si="12"/>
        <v>87.716148846559008</v>
      </c>
      <c r="J31" s="5">
        <f t="shared" si="12"/>
        <v>68.911096245396038</v>
      </c>
      <c r="K31" s="5">
        <f t="shared" si="12"/>
        <v>70.97842913275781</v>
      </c>
    </row>
    <row r="32" spans="1:11" x14ac:dyDescent="0.35">
      <c r="A32" s="2" t="s">
        <v>128</v>
      </c>
      <c r="B32" s="8">
        <f t="shared" ref="B32:K32" si="13">B27+B28-B29-B31</f>
        <v>183.79999999999984</v>
      </c>
      <c r="C32" s="8">
        <f t="shared" si="13"/>
        <v>905.26800000000026</v>
      </c>
      <c r="D32" s="8">
        <f t="shared" si="13"/>
        <v>1184.4871999999998</v>
      </c>
      <c r="E32" s="8">
        <f t="shared" si="13"/>
        <v>1470.0860999999998</v>
      </c>
      <c r="F32" s="8">
        <f t="shared" si="13"/>
        <v>1590.4338321600005</v>
      </c>
      <c r="G32" s="8">
        <f t="shared" si="13"/>
        <v>1614.6938439204</v>
      </c>
      <c r="H32" s="8">
        <f t="shared" si="13"/>
        <v>1643.3802134322486</v>
      </c>
      <c r="I32" s="8">
        <f t="shared" si="13"/>
        <v>1655.9434076657335</v>
      </c>
      <c r="J32" s="8">
        <f t="shared" si="13"/>
        <v>1641.0237874074069</v>
      </c>
      <c r="K32" s="8">
        <f t="shared" si="13"/>
        <v>1690.2545010296296</v>
      </c>
    </row>
    <row r="33" spans="1:11" x14ac:dyDescent="0.35">
      <c r="A33" s="2" t="s">
        <v>129</v>
      </c>
      <c r="B33" s="4">
        <f t="shared" ref="B33:K33" si="14">B25/B20</f>
        <v>0.30499999999999994</v>
      </c>
      <c r="C33" s="4">
        <f t="shared" si="14"/>
        <v>0.29500000000000004</v>
      </c>
      <c r="D33" s="4">
        <f t="shared" si="14"/>
        <v>0.28500000000000003</v>
      </c>
      <c r="E33" s="4">
        <f t="shared" si="14"/>
        <v>0.27499999999999997</v>
      </c>
      <c r="F33" s="4">
        <f t="shared" si="14"/>
        <v>0.26500000000000001</v>
      </c>
      <c r="G33" s="4">
        <f t="shared" si="14"/>
        <v>0.24499999999999997</v>
      </c>
      <c r="H33" s="4">
        <f t="shared" si="14"/>
        <v>0.23000000000000004</v>
      </c>
      <c r="I33" s="4">
        <f t="shared" si="14"/>
        <v>0.215</v>
      </c>
      <c r="J33" s="4">
        <f t="shared" si="14"/>
        <v>0.20499999999999999</v>
      </c>
      <c r="K33" s="4">
        <f t="shared" si="14"/>
        <v>0.20500000000000002</v>
      </c>
    </row>
    <row r="34" spans="1:11" x14ac:dyDescent="0.35">
      <c r="A34" s="2" t="s">
        <v>130</v>
      </c>
      <c r="B34" s="5">
        <f t="shared" ref="B34:K34" si="15">B25+B28</f>
        <v>1931.9999999999998</v>
      </c>
      <c r="C34" s="5">
        <f t="shared" si="15"/>
        <v>2267.1200000000003</v>
      </c>
      <c r="D34" s="5">
        <f t="shared" si="15"/>
        <v>2557.5240000000003</v>
      </c>
      <c r="E34" s="5">
        <f t="shared" si="15"/>
        <v>2765.1610800000003</v>
      </c>
      <c r="F34" s="5">
        <f t="shared" si="15"/>
        <v>2891.5072896000006</v>
      </c>
      <c r="G34" s="5">
        <f t="shared" si="15"/>
        <v>2870.9032129200004</v>
      </c>
      <c r="H34" s="5">
        <f t="shared" si="15"/>
        <v>2862.0741450454211</v>
      </c>
      <c r="I34" s="5">
        <f t="shared" si="15"/>
        <v>2819.090300948018</v>
      </c>
      <c r="J34" s="5">
        <f t="shared" si="15"/>
        <v>2796.1199355328858</v>
      </c>
      <c r="K34" s="5">
        <f t="shared" si="15"/>
        <v>2880.0035335988728</v>
      </c>
    </row>
    <row r="36" spans="1:11" x14ac:dyDescent="0.35">
      <c r="A36" s="2" t="s">
        <v>131</v>
      </c>
      <c r="B36" s="4">
        <f>Summary!$B$25</f>
        <v>0.76986301369863008</v>
      </c>
      <c r="C36" s="4">
        <f>1</f>
        <v>1</v>
      </c>
      <c r="D36" s="4">
        <f>1</f>
        <v>1</v>
      </c>
      <c r="E36" s="4">
        <f>1</f>
        <v>1</v>
      </c>
      <c r="F36" s="4">
        <f>1</f>
        <v>1</v>
      </c>
      <c r="G36" s="4">
        <f>1</f>
        <v>1</v>
      </c>
      <c r="H36" s="4">
        <f>1</f>
        <v>1</v>
      </c>
      <c r="I36" s="4">
        <f>1</f>
        <v>1</v>
      </c>
      <c r="J36" s="4">
        <f>1</f>
        <v>1</v>
      </c>
      <c r="K36" s="4">
        <f>1</f>
        <v>1</v>
      </c>
    </row>
    <row r="37" spans="1:11" x14ac:dyDescent="0.35">
      <c r="A37" s="2" t="s">
        <v>132</v>
      </c>
      <c r="B37" s="5">
        <f>Summary!$B$25+0</f>
        <v>0.76986301369863008</v>
      </c>
      <c r="C37" s="5">
        <f>Summary!$B$25+1</f>
        <v>1.7698630136986302</v>
      </c>
      <c r="D37" s="5">
        <f>Summary!$B$25+2</f>
        <v>2.7698630136986302</v>
      </c>
      <c r="E37" s="5">
        <f>Summary!$B$25+3</f>
        <v>3.7698630136986302</v>
      </c>
      <c r="F37" s="5">
        <f>Summary!$B$25+4</f>
        <v>4.7698630136986298</v>
      </c>
      <c r="G37" s="5">
        <f>Summary!$B$25+5</f>
        <v>5.7698630136986298</v>
      </c>
      <c r="H37" s="5">
        <f>Summary!$B$25+6</f>
        <v>6.7698630136986298</v>
      </c>
      <c r="I37" s="5">
        <f>Summary!$B$25+7</f>
        <v>7.7698630136986298</v>
      </c>
      <c r="J37" s="5">
        <f>Summary!$B$25+8</f>
        <v>8.7698630136986306</v>
      </c>
      <c r="K37" s="5">
        <f>Summary!$B$25+9</f>
        <v>9.7698630136986306</v>
      </c>
    </row>
    <row r="38" spans="1:11" x14ac:dyDescent="0.35">
      <c r="A38" s="2" t="s">
        <v>133</v>
      </c>
      <c r="B38" s="5">
        <f>1/(1+WACC!$B$26)^B37</f>
        <v>0.90420476703443664</v>
      </c>
      <c r="C38" s="5">
        <f>1/(1+WACC!$B$26)^C37</f>
        <v>0.79334175508542215</v>
      </c>
      <c r="D38" s="5">
        <f>1/(1+WACC!$B$26)^D37</f>
        <v>0.69607146888448945</v>
      </c>
      <c r="E38" s="5">
        <f>1/(1+WACC!$B$26)^E37</f>
        <v>0.61072732739604907</v>
      </c>
      <c r="F38" s="5">
        <f>1/(1+WACC!$B$26)^F37</f>
        <v>0.5358470862569098</v>
      </c>
      <c r="G38" s="5">
        <f>1/(1+WACC!$B$26)^G37</f>
        <v>0.47014778440365823</v>
      </c>
      <c r="H38" s="5">
        <f>1/(1+WACC!$B$26)^H37</f>
        <v>0.4125037624515373</v>
      </c>
      <c r="I38" s="5">
        <f>1/(1+WACC!$B$26)^I37</f>
        <v>0.36192737620258425</v>
      </c>
      <c r="J38" s="5">
        <f>1/(1+WACC!$B$26)^J37</f>
        <v>0.31755207483780562</v>
      </c>
      <c r="K38" s="5">
        <f>1/(1+WACC!$B$26)^K37</f>
        <v>0.27861755386349046</v>
      </c>
    </row>
    <row r="39" spans="1:11" x14ac:dyDescent="0.35">
      <c r="A39" s="2" t="s">
        <v>134</v>
      </c>
      <c r="B39" s="8">
        <f t="shared" ref="B39:K39" si="16">B32*B36*B38</f>
        <v>127.94571771737296</v>
      </c>
      <c r="C39" s="8">
        <f t="shared" si="16"/>
        <v>718.18690394267014</v>
      </c>
      <c r="D39" s="8">
        <f t="shared" si="16"/>
        <v>824.48774517887591</v>
      </c>
      <c r="E39" s="8">
        <f t="shared" si="16"/>
        <v>897.82175489508074</v>
      </c>
      <c r="F39" s="8">
        <f t="shared" si="16"/>
        <v>852.22933484734745</v>
      </c>
      <c r="G39" s="8">
        <f t="shared" si="16"/>
        <v>759.14473320940237</v>
      </c>
      <c r="H39" s="8">
        <f t="shared" si="16"/>
        <v>677.900521179213</v>
      </c>
      <c r="I39" s="8">
        <f t="shared" si="16"/>
        <v>599.33125267642527</v>
      </c>
      <c r="J39" s="8">
        <f t="shared" si="16"/>
        <v>521.11050854941607</v>
      </c>
      <c r="K39" s="8">
        <f t="shared" si="16"/>
        <v>470.93457448363006</v>
      </c>
    </row>
    <row r="41" spans="1:11" ht="24" customHeight="1" x14ac:dyDescent="0.35">
      <c r="A41" s="11" t="s">
        <v>135</v>
      </c>
      <c r="B41" s="11"/>
      <c r="C41" s="11"/>
      <c r="D41" s="11"/>
      <c r="E41" s="11"/>
      <c r="F41" s="11"/>
      <c r="G41" s="11"/>
      <c r="H41" s="11"/>
      <c r="I41" s="11"/>
      <c r="J41" s="11"/>
      <c r="K41" s="11"/>
    </row>
    <row r="42" spans="1:11" x14ac:dyDescent="0.35">
      <c r="B42" s="1" t="s">
        <v>148</v>
      </c>
      <c r="D42" s="1" t="s">
        <v>149</v>
      </c>
    </row>
    <row r="43" spans="1:11" x14ac:dyDescent="0.35">
      <c r="A43" s="2" t="s">
        <v>136</v>
      </c>
      <c r="B43" s="5">
        <f>K20*(1+WACC!B30)</f>
        <v>11409.24476771861</v>
      </c>
    </row>
    <row r="44" spans="1:11" x14ac:dyDescent="0.35">
      <c r="A44" s="2" t="s">
        <v>137</v>
      </c>
      <c r="B44" s="5">
        <f>B43*(K10-K11)*(1-K12)</f>
        <v>1871.1161419058521</v>
      </c>
    </row>
    <row r="45" spans="1:11" x14ac:dyDescent="0.35">
      <c r="A45" s="2" t="s">
        <v>138</v>
      </c>
      <c r="B45" s="5">
        <f>B43*K13</f>
        <v>627.50846222452356</v>
      </c>
    </row>
    <row r="46" spans="1:11" x14ac:dyDescent="0.35">
      <c r="A46" s="2" t="s">
        <v>139</v>
      </c>
      <c r="B46" s="5">
        <f>B43*K14</f>
        <v>684.55468606311661</v>
      </c>
    </row>
    <row r="47" spans="1:11" x14ac:dyDescent="0.35">
      <c r="A47" s="2" t="s">
        <v>140</v>
      </c>
      <c r="B47" s="5">
        <f>B43*K15-K30</f>
        <v>73.107782006740763</v>
      </c>
    </row>
    <row r="48" spans="1:11" x14ac:dyDescent="0.35">
      <c r="A48" s="2" t="s">
        <v>141</v>
      </c>
      <c r="B48" s="8">
        <f>B44+B45-B46-B47</f>
        <v>1740.9621360605183</v>
      </c>
    </row>
    <row r="49" spans="1:11" x14ac:dyDescent="0.35">
      <c r="A49" s="2" t="s">
        <v>142</v>
      </c>
      <c r="B49" s="5">
        <f>B48/(WACC!B26-WACC!B30)</f>
        <v>15864.16474415375</v>
      </c>
      <c r="D49" s="5">
        <f>K34*WACC!B31</f>
        <v>46080.056537581964</v>
      </c>
    </row>
    <row r="50" spans="1:11" x14ac:dyDescent="0.35">
      <c r="A50" s="2" t="s">
        <v>143</v>
      </c>
      <c r="B50" s="5">
        <f>B49*K38</f>
        <v>4420.0347751035442</v>
      </c>
      <c r="D50" s="5">
        <f>D49*K38</f>
        <v>12838.712634392428</v>
      </c>
    </row>
    <row r="51" spans="1:11" x14ac:dyDescent="0.35">
      <c r="A51" s="2" t="s">
        <v>144</v>
      </c>
      <c r="B51" s="5">
        <f>SUM(B39:K39)</f>
        <v>6449.0930466794343</v>
      </c>
      <c r="D51" s="5">
        <f>B51</f>
        <v>6449.0930466794343</v>
      </c>
    </row>
    <row r="52" spans="1:11" x14ac:dyDescent="0.35">
      <c r="A52" s="2" t="s">
        <v>145</v>
      </c>
      <c r="B52" s="8">
        <f>B50+B51</f>
        <v>10869.127821782979</v>
      </c>
      <c r="D52" s="5">
        <f>D50+D51</f>
        <v>19287.805681071863</v>
      </c>
    </row>
    <row r="53" spans="1:11" x14ac:dyDescent="0.35">
      <c r="A53" s="2" t="s">
        <v>146</v>
      </c>
      <c r="B53" s="4">
        <f>B50/B52</f>
        <v>0.40665956345138271</v>
      </c>
      <c r="D53" s="4">
        <f>D50/D52</f>
        <v>0.66563884179897825</v>
      </c>
    </row>
    <row r="54" spans="1:11" x14ac:dyDescent="0.35">
      <c r="A54" s="2" t="s">
        <v>147</v>
      </c>
      <c r="B54" s="5">
        <f>B49/K34</f>
        <v>5.5083837776857782</v>
      </c>
    </row>
    <row r="56" spans="1:11" ht="24" customHeight="1" x14ac:dyDescent="0.35">
      <c r="A56" s="11" t="s">
        <v>150</v>
      </c>
      <c r="B56" s="11"/>
      <c r="C56" s="11"/>
      <c r="D56" s="11"/>
      <c r="E56" s="11"/>
      <c r="F56" s="11"/>
      <c r="G56" s="11"/>
      <c r="H56" s="11"/>
      <c r="I56" s="11"/>
      <c r="J56" s="11"/>
      <c r="K56" s="11"/>
    </row>
    <row r="58" spans="1:11" x14ac:dyDescent="0.35">
      <c r="A58" s="2" t="s">
        <v>151</v>
      </c>
      <c r="B58" s="5">
        <f>B52</f>
        <v>10869.127821782979</v>
      </c>
      <c r="D58" s="5">
        <f>D52</f>
        <v>19287.805681071863</v>
      </c>
    </row>
    <row r="59" spans="1:11" x14ac:dyDescent="0.35">
      <c r="A59" s="2" t="s">
        <v>152</v>
      </c>
      <c r="B59" s="5">
        <f>Capital!B7+Capital!B8</f>
        <v>2738.4</v>
      </c>
      <c r="D59" s="5">
        <f>Capital!B7+Capital!B8</f>
        <v>2738.4</v>
      </c>
    </row>
    <row r="60" spans="1:11" x14ac:dyDescent="0.35">
      <c r="A60" s="2" t="s">
        <v>153</v>
      </c>
      <c r="B60" s="5">
        <f>Capital!B33</f>
        <v>1647.1</v>
      </c>
      <c r="D60" s="5">
        <f>Capital!B33</f>
        <v>1647.1</v>
      </c>
    </row>
    <row r="61" spans="1:11" x14ac:dyDescent="0.35">
      <c r="A61" s="2" t="s">
        <v>154</v>
      </c>
      <c r="B61" s="5">
        <f>Capital!B19+Capital!B20</f>
        <v>0</v>
      </c>
      <c r="D61" s="5">
        <f>Capital!B19+Capital!B20</f>
        <v>0</v>
      </c>
    </row>
    <row r="62" spans="1:11" x14ac:dyDescent="0.35">
      <c r="A62" s="2" t="s">
        <v>155</v>
      </c>
      <c r="B62" s="5">
        <f>B58+B59-B60-B61</f>
        <v>11960.427821782978</v>
      </c>
      <c r="D62" s="5">
        <f>D58+D59-D60-D61</f>
        <v>20379.105681071866</v>
      </c>
    </row>
    <row r="63" spans="1:11" x14ac:dyDescent="0.35">
      <c r="A63" s="2" t="s">
        <v>156</v>
      </c>
      <c r="B63" s="5">
        <f>Capital!B18</f>
        <v>94.498187128613154</v>
      </c>
      <c r="D63" s="5">
        <f>Capital!B18</f>
        <v>94.498187128613154</v>
      </c>
    </row>
    <row r="64" spans="1:11" x14ac:dyDescent="0.35">
      <c r="A64" s="2" t="s">
        <v>157</v>
      </c>
      <c r="B64" s="5">
        <f>IF(B66&gt;Capital!C25,Capital!D25-Capital!B25/B66,0)+IF(B66&gt;Capital!C26,Capital!D26-Capital!B26/B66,0)+IF(B66&gt;Capital!C27,Capital!D27-Capital!B27/B66,0)+IF(B66&gt;Capital!C28,Capital!D28-Capital!B28/B66,0)</f>
        <v>0.47034918084925964</v>
      </c>
      <c r="D64" s="5">
        <f>IF(D66&gt;Capital!C25,Capital!D25-Capital!B25/D66,0)+IF(D66&gt;Capital!C26,Capital!D26-Capital!B26/D66,0)+IF(D66&gt;Capital!C27,Capital!D27-Capital!B27/D66,0)+IF(D66&gt;Capital!C28,Capital!D28-Capital!B28/D66,0)</f>
        <v>2.0828673844986563</v>
      </c>
    </row>
    <row r="65" spans="1:11" x14ac:dyDescent="0.35">
      <c r="A65" s="2" t="s">
        <v>158</v>
      </c>
      <c r="B65" s="5">
        <f>B63+B64</f>
        <v>94.968536309462408</v>
      </c>
      <c r="D65" s="5">
        <f>D63+D64</f>
        <v>96.581054513111809</v>
      </c>
    </row>
    <row r="66" spans="1:11" ht="15.5" x14ac:dyDescent="0.35">
      <c r="A66" s="2" t="s">
        <v>159</v>
      </c>
      <c r="B66" s="3">
        <f>IF(G71&lt;H71,G71,IF(G72&lt;H72,G72,IF(G73&lt;H73,G73,IF(G74&lt;H74,G74,G75))))</f>
        <v>125.94095146216625</v>
      </c>
      <c r="D66" s="3">
        <f>IF(I71&lt;J71,I71,IF(I72&lt;J72,I72,IF(I73&lt;J73,I73,IF(I74&lt;J74,I74,I75))))</f>
        <v>211.0052099121076</v>
      </c>
    </row>
    <row r="67" spans="1:11" x14ac:dyDescent="0.35">
      <c r="A67" s="2" t="s">
        <v>160</v>
      </c>
      <c r="B67" s="4">
        <f>B66/Capital!B16-1</f>
        <v>-0.85906497077901289</v>
      </c>
      <c r="D67" s="4">
        <f>D66/Capital!B16-1</f>
        <v>-0.76387326695973901</v>
      </c>
    </row>
    <row r="69" spans="1:11" ht="52" customHeight="1" x14ac:dyDescent="0.35">
      <c r="A69" s="10" t="s">
        <v>161</v>
      </c>
      <c r="B69" s="10"/>
      <c r="C69" s="10"/>
      <c r="D69" s="10"/>
      <c r="E69" s="10"/>
      <c r="F69" s="10"/>
      <c r="G69" s="10"/>
      <c r="H69" s="10"/>
      <c r="I69" s="10"/>
      <c r="J69" s="10"/>
      <c r="K69" s="10"/>
    </row>
    <row r="70" spans="1:11" ht="8" customHeight="1" x14ac:dyDescent="0.35"/>
    <row r="71" spans="1:11" x14ac:dyDescent="0.35">
      <c r="G71" s="5">
        <f>(B52+Capital!B32-Capital!B19-Capital!B20-(Capital!B27+Capital!B25+Capital!B26+Capital!B28))/(Capital!B18+0)</f>
        <v>126.56780182994088</v>
      </c>
      <c r="H71" s="5">
        <f>Capital!C27</f>
        <v>69.540000000000006</v>
      </c>
      <c r="I71" s="5">
        <f>(D52+Capital!B32-Capital!B19-Capital!B20-(Capital!B27+Capital!B25+Capital!B26+Capital!B28))/(Capital!B18+0)</f>
        <v>215.65604907674745</v>
      </c>
      <c r="J71" s="5">
        <f>Capital!C27</f>
        <v>69.540000000000006</v>
      </c>
    </row>
    <row r="72" spans="1:11" x14ac:dyDescent="0.35">
      <c r="G72" s="5">
        <f>(B52+Capital!B32-Capital!B19-Capital!B20-(Capital!B25+Capital!B26+Capital!B28))/(Capital!B18+Capital!D27)</f>
        <v>126.09531726657701</v>
      </c>
      <c r="H72" s="5">
        <f>Capital!C25</f>
        <v>99.29</v>
      </c>
      <c r="I72" s="5">
        <f>(D52+Capital!B32-Capital!B19-Capital!B20-(Capital!B25+Capital!B26+Capital!B28))/(Capital!B18+Capital!D27)</f>
        <v>214.44545397342654</v>
      </c>
      <c r="J72" s="5">
        <f>Capital!C25</f>
        <v>99.29</v>
      </c>
    </row>
    <row r="73" spans="1:11" x14ac:dyDescent="0.35">
      <c r="G73" s="5">
        <f>(B52+Capital!B32-Capital!B19-Capital!B20-(Capital!B26+Capital!B28))/(Capital!B18+Capital!D27+Capital!D25)</f>
        <v>125.94095146216625</v>
      </c>
      <c r="H73" s="5">
        <f>Capital!C26</f>
        <v>131.03</v>
      </c>
      <c r="I73" s="5">
        <f>(D52+Capital!B32-Capital!B19-Capital!B20-(Capital!B26+Capital!B28))/(Capital!B18+Capital!D27+Capital!D25)</f>
        <v>213.78229956610838</v>
      </c>
      <c r="J73" s="5">
        <f>Capital!C26</f>
        <v>131.03</v>
      </c>
    </row>
    <row r="74" spans="1:11" x14ac:dyDescent="0.35">
      <c r="G74" s="5">
        <f>(B52+Capital!B32-Capital!B19-Capital!B20-(Capital!B28))/(Capital!B18+Capital!D27+Capital!D25+Capital!D26)</f>
        <v>126.01270777077842</v>
      </c>
      <c r="H74" s="5">
        <f>Capital!C28</f>
        <v>187.77</v>
      </c>
      <c r="I74" s="5">
        <f>(D52+Capital!B32-Capital!B19-Capital!B20-(Capital!B28))/(Capital!B18+Capital!D27+Capital!D25+Capital!D26)</f>
        <v>212.61548036564585</v>
      </c>
      <c r="J74" s="5">
        <f>Capital!C28</f>
        <v>187.77</v>
      </c>
    </row>
    <row r="75" spans="1:11" x14ac:dyDescent="0.35">
      <c r="G75" s="5">
        <f>(B52+Capital!B32-Capital!B19-Capital!B20-(0))/(Capital!B18+Capital!D27+Capital!D25+Capital!D26+Capital!D28)</f>
        <v>130.01528455753069</v>
      </c>
      <c r="I75" s="5">
        <f>(D52+Capital!B32-Capital!B19-Capital!B20-(0))/(Capital!B18+Capital!D27+Capital!D25+Capital!D26+Capital!D28)</f>
        <v>211.0052099121076</v>
      </c>
    </row>
  </sheetData>
  <mergeCells count="6">
    <mergeCell ref="A69:K69"/>
    <mergeCell ref="A1:K2"/>
    <mergeCell ref="A3:K3"/>
    <mergeCell ref="A5:K5"/>
    <mergeCell ref="A41:K41"/>
    <mergeCell ref="A56:K56"/>
  </mergeCells>
  <pageMargins left="0.7" right="0.7" top="0.75" bottom="0.75" header="0.3" footer="0.3"/>
  <pageSetup paperSize="9" fitToHeight="0" orientation="landscape"/>
  <headerFooter>
    <oddFooter>&amp;LAI-assisted; sources and assumptions disclosed&amp;R&amp;P / &amp;N</oddFooter>
  </headerFooter>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pageSetUpPr fitToPage="1"/>
  </sheetPr>
  <dimension ref="A1:K38"/>
  <sheetViews>
    <sheetView showGridLines="0" zoomScale="90" zoomScaleNormal="90" workbookViewId="0">
      <pane xSplit="1" ySplit="6" topLeftCell="B7" activePane="bottomRight" state="frozen"/>
      <selection pane="topRight" activeCell="B1" sqref="B1"/>
      <selection pane="bottomLeft" activeCell="A7" sqref="A7"/>
      <selection pane="bottomRight"/>
    </sheetView>
  </sheetViews>
  <sheetFormatPr defaultRowHeight="14.5" x14ac:dyDescent="0.35"/>
  <cols>
    <col min="1" max="1" width="40.7265625" customWidth="1"/>
    <col min="2" max="11" width="14.7265625" customWidth="1"/>
  </cols>
  <sheetData>
    <row r="1" spans="1:11" x14ac:dyDescent="0.35">
      <c r="A1" s="9" t="s">
        <v>7</v>
      </c>
      <c r="B1" s="9"/>
      <c r="C1" s="9"/>
      <c r="D1" s="9"/>
      <c r="E1" s="9"/>
      <c r="F1" s="9"/>
      <c r="G1" s="9"/>
      <c r="H1" s="9"/>
      <c r="I1" s="9"/>
      <c r="J1" s="9"/>
      <c r="K1" s="9"/>
    </row>
    <row r="2" spans="1:11" x14ac:dyDescent="0.35">
      <c r="A2" s="9"/>
      <c r="B2" s="9"/>
      <c r="C2" s="9"/>
      <c r="D2" s="9"/>
      <c r="E2" s="9"/>
      <c r="F2" s="9"/>
      <c r="G2" s="9"/>
      <c r="H2" s="9"/>
      <c r="I2" s="9"/>
      <c r="J2" s="9"/>
      <c r="K2" s="9"/>
    </row>
    <row r="3" spans="1:11" x14ac:dyDescent="0.35">
      <c r="A3" s="10" t="s">
        <v>1</v>
      </c>
      <c r="B3" s="10"/>
      <c r="C3" s="10"/>
      <c r="D3" s="10"/>
      <c r="E3" s="10"/>
      <c r="F3" s="10"/>
      <c r="G3" s="10"/>
      <c r="H3" s="10"/>
      <c r="I3" s="10"/>
      <c r="J3" s="10"/>
      <c r="K3" s="10"/>
    </row>
    <row r="5" spans="1:11" ht="24" customHeight="1" x14ac:dyDescent="0.35">
      <c r="A5" s="11" t="s">
        <v>44</v>
      </c>
      <c r="B5" s="11"/>
      <c r="C5" s="11"/>
      <c r="D5" s="11"/>
      <c r="E5" s="11"/>
      <c r="F5" s="11"/>
      <c r="G5" s="11"/>
      <c r="H5" s="11"/>
      <c r="I5" s="11"/>
      <c r="J5" s="11"/>
      <c r="K5" s="11"/>
    </row>
    <row r="7" spans="1:11" x14ac:dyDescent="0.35">
      <c r="A7" s="1" t="s">
        <v>45</v>
      </c>
      <c r="B7" s="1" t="s">
        <v>46</v>
      </c>
      <c r="C7" s="1" t="s">
        <v>47</v>
      </c>
      <c r="D7" s="1" t="s">
        <v>48</v>
      </c>
      <c r="E7" s="1" t="s">
        <v>49</v>
      </c>
      <c r="F7" s="1" t="s">
        <v>50</v>
      </c>
      <c r="G7" s="1" t="s">
        <v>51</v>
      </c>
    </row>
    <row r="8" spans="1:11" x14ac:dyDescent="0.35">
      <c r="A8" s="2" t="s">
        <v>52</v>
      </c>
      <c r="B8" s="6">
        <v>2.1</v>
      </c>
      <c r="C8" s="6">
        <v>57961.763400000011</v>
      </c>
      <c r="D8" s="6">
        <v>3550</v>
      </c>
      <c r="E8" s="4">
        <f>D8/C8</f>
        <v>6.1247273922656387E-2</v>
      </c>
      <c r="F8" s="7">
        <v>0.25</v>
      </c>
      <c r="G8" s="5">
        <f>B8/(1+(1-F8)*E8)</f>
        <v>2.0077720752974959</v>
      </c>
    </row>
    <row r="9" spans="1:11" x14ac:dyDescent="0.35">
      <c r="A9" s="2" t="s">
        <v>53</v>
      </c>
      <c r="B9" s="6">
        <v>2.25</v>
      </c>
      <c r="C9" s="6">
        <v>211129.66680000001</v>
      </c>
      <c r="D9" s="6">
        <v>5290</v>
      </c>
      <c r="E9" s="4">
        <f>D9/C9</f>
        <v>2.5055692457522507E-2</v>
      </c>
      <c r="F9" s="7">
        <v>0.25</v>
      </c>
      <c r="G9" s="5">
        <f>B9/(1+(1-F9)*E9)</f>
        <v>2.2084984073346705</v>
      </c>
    </row>
    <row r="10" spans="1:11" x14ac:dyDescent="0.35">
      <c r="A10" s="2" t="s">
        <v>54</v>
      </c>
      <c r="B10" s="6">
        <v>1.21</v>
      </c>
      <c r="C10" s="6">
        <v>13648.363600000001</v>
      </c>
      <c r="D10" s="6">
        <v>4.01</v>
      </c>
      <c r="E10" s="4">
        <f>D10/C10</f>
        <v>2.938081163078041E-4</v>
      </c>
      <c r="F10" s="7">
        <v>0.25</v>
      </c>
      <c r="G10" s="5">
        <f>B10/(1+(1-F10)*E10)</f>
        <v>1.209733427875241</v>
      </c>
    </row>
    <row r="13" spans="1:11" x14ac:dyDescent="0.35">
      <c r="A13" s="2" t="s">
        <v>55</v>
      </c>
      <c r="B13" s="7">
        <v>4.9399999999999999E-2</v>
      </c>
    </row>
    <row r="14" spans="1:11" x14ac:dyDescent="0.35">
      <c r="A14" s="2" t="s">
        <v>56</v>
      </c>
      <c r="B14" s="7">
        <v>4.1399999999999999E-2</v>
      </c>
    </row>
    <row r="15" spans="1:11" x14ac:dyDescent="0.35">
      <c r="A15" s="2" t="s">
        <v>57</v>
      </c>
      <c r="B15" s="7">
        <v>4.4999999999999998E-2</v>
      </c>
    </row>
    <row r="16" spans="1:11" x14ac:dyDescent="0.35">
      <c r="A16" s="2" t="s">
        <v>63</v>
      </c>
      <c r="B16" s="5">
        <f>MEDIAN(G8:G10)</f>
        <v>2.0077720752974959</v>
      </c>
    </row>
    <row r="17" spans="1:2" x14ac:dyDescent="0.35">
      <c r="A17" s="2" t="s">
        <v>64</v>
      </c>
      <c r="B17" s="5">
        <f>Capital!B31*Capital!B16</f>
        <v>92888.278250697229</v>
      </c>
    </row>
    <row r="18" spans="1:2" x14ac:dyDescent="0.35">
      <c r="A18" s="2" t="s">
        <v>65</v>
      </c>
      <c r="B18" s="5">
        <f>Capital!B9</f>
        <v>92.8</v>
      </c>
    </row>
    <row r="19" spans="1:2" x14ac:dyDescent="0.35">
      <c r="A19" s="2" t="s">
        <v>58</v>
      </c>
      <c r="B19" s="7">
        <v>0.2</v>
      </c>
    </row>
    <row r="20" spans="1:2" x14ac:dyDescent="0.35">
      <c r="A20" s="2" t="s">
        <v>66</v>
      </c>
      <c r="B20" s="5">
        <f>B16*(1+(1-B19)*B18/B17)</f>
        <v>2.0093767664563504</v>
      </c>
    </row>
    <row r="21" spans="1:2" x14ac:dyDescent="0.35">
      <c r="A21" s="2" t="s">
        <v>67</v>
      </c>
      <c r="B21" s="4">
        <f>B13+B20*B15</f>
        <v>0.13982195449053575</v>
      </c>
    </row>
    <row r="22" spans="1:2" x14ac:dyDescent="0.35">
      <c r="A22" s="2" t="s">
        <v>59</v>
      </c>
      <c r="B22" s="7">
        <v>2.5000000000000001E-2</v>
      </c>
    </row>
    <row r="23" spans="1:2" x14ac:dyDescent="0.35">
      <c r="A23" s="2" t="s">
        <v>68</v>
      </c>
      <c r="B23" s="4">
        <f>B13+B22</f>
        <v>7.4399999999999994E-2</v>
      </c>
    </row>
    <row r="24" spans="1:2" x14ac:dyDescent="0.35">
      <c r="A24" s="2" t="s">
        <v>69</v>
      </c>
      <c r="B24" s="4">
        <f>B18/(B17+B18)</f>
        <v>9.980525258030564E-4</v>
      </c>
    </row>
    <row r="25" spans="1:2" x14ac:dyDescent="0.35">
      <c r="A25" s="2" t="s">
        <v>70</v>
      </c>
      <c r="B25" s="4">
        <f>1-B24</f>
        <v>0.99900194747419691</v>
      </c>
    </row>
    <row r="26" spans="1:2" x14ac:dyDescent="0.35">
      <c r="A26" s="2" t="s">
        <v>71</v>
      </c>
      <c r="B26" s="4">
        <f>B21*B25+B23*(1-B19)*B24</f>
        <v>0.13974180892202953</v>
      </c>
    </row>
    <row r="28" spans="1:2" x14ac:dyDescent="0.35">
      <c r="A28" s="2" t="s">
        <v>60</v>
      </c>
      <c r="B28" s="6">
        <v>1.54</v>
      </c>
    </row>
    <row r="29" spans="1:2" x14ac:dyDescent="0.35">
      <c r="A29" s="2" t="s">
        <v>72</v>
      </c>
      <c r="B29" s="4">
        <f>(B13+B28*B15)*B25+B23*(1-B19)*B24</f>
        <v>0.11864093525152297</v>
      </c>
    </row>
    <row r="30" spans="1:2" x14ac:dyDescent="0.35">
      <c r="A30" s="2" t="s">
        <v>61</v>
      </c>
      <c r="B30" s="7">
        <v>0.03</v>
      </c>
    </row>
    <row r="31" spans="1:2" x14ac:dyDescent="0.35">
      <c r="A31" s="2" t="s">
        <v>62</v>
      </c>
      <c r="B31" s="6">
        <v>16</v>
      </c>
    </row>
    <row r="34" spans="1:11" ht="48" customHeight="1" x14ac:dyDescent="0.35">
      <c r="A34" s="10" t="s">
        <v>73</v>
      </c>
      <c r="B34" s="10"/>
      <c r="C34" s="10"/>
      <c r="D34" s="10"/>
      <c r="E34" s="10"/>
      <c r="F34" s="10"/>
      <c r="G34" s="10"/>
      <c r="H34" s="10"/>
      <c r="I34" s="10"/>
      <c r="J34" s="10"/>
      <c r="K34" s="10"/>
    </row>
    <row r="36" spans="1:11" ht="50" customHeight="1" x14ac:dyDescent="0.35">
      <c r="A36" s="10" t="s">
        <v>74</v>
      </c>
      <c r="B36" s="10"/>
      <c r="C36" s="10"/>
      <c r="D36" s="10"/>
      <c r="E36" s="10"/>
      <c r="F36" s="10"/>
      <c r="G36" s="10"/>
      <c r="H36" s="10"/>
      <c r="I36" s="10"/>
      <c r="J36" s="10"/>
      <c r="K36" s="10"/>
    </row>
    <row r="38" spans="1:11" ht="55" customHeight="1" x14ac:dyDescent="0.35">
      <c r="A38" s="12" t="s">
        <v>75</v>
      </c>
      <c r="B38" s="12"/>
      <c r="C38" s="12"/>
      <c r="D38" s="12"/>
      <c r="E38" s="12"/>
      <c r="F38" s="12"/>
      <c r="G38" s="12"/>
      <c r="H38" s="12"/>
      <c r="I38" s="12"/>
      <c r="J38" s="12"/>
      <c r="K38" s="12"/>
    </row>
  </sheetData>
  <mergeCells count="6">
    <mergeCell ref="A38:K38"/>
    <mergeCell ref="A1:K2"/>
    <mergeCell ref="A3:K3"/>
    <mergeCell ref="A5:K5"/>
    <mergeCell ref="A34:K34"/>
    <mergeCell ref="A36:K36"/>
  </mergeCells>
  <pageMargins left="0.7" right="0.7" top="0.75" bottom="0.75" header="0.3" footer="0.3"/>
  <pageSetup paperSize="9" fitToHeight="0" orientation="landscape"/>
  <headerFooter>
    <oddFooter>&amp;LAI-assisted; sources and assumptions disclosed&amp;R&amp;P / &amp;N</oddFooter>
  </headerFooter>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pageSetUpPr fitToPage="1"/>
  </sheetPr>
  <dimension ref="A1:K39"/>
  <sheetViews>
    <sheetView showGridLines="0" zoomScale="90" zoomScaleNormal="90" workbookViewId="0">
      <pane xSplit="1" ySplit="6" topLeftCell="B7" activePane="bottomRight" state="frozen"/>
      <selection pane="topRight" activeCell="B1" sqref="B1"/>
      <selection pane="bottomLeft" activeCell="A7" sqref="A7"/>
      <selection pane="bottomRight"/>
    </sheetView>
  </sheetViews>
  <sheetFormatPr defaultRowHeight="14.5" x14ac:dyDescent="0.35"/>
  <cols>
    <col min="1" max="1" width="40.7265625" customWidth="1"/>
    <col min="2" max="11" width="14.7265625" customWidth="1"/>
  </cols>
  <sheetData>
    <row r="1" spans="1:11" x14ac:dyDescent="0.35">
      <c r="A1" s="9" t="s">
        <v>8</v>
      </c>
      <c r="B1" s="9"/>
      <c r="C1" s="9"/>
      <c r="D1" s="9"/>
      <c r="E1" s="9"/>
      <c r="F1" s="9"/>
      <c r="G1" s="9"/>
      <c r="H1" s="9"/>
      <c r="I1" s="9"/>
      <c r="J1" s="9"/>
      <c r="K1" s="9"/>
    </row>
    <row r="2" spans="1:11" x14ac:dyDescent="0.35">
      <c r="A2" s="9"/>
      <c r="B2" s="9"/>
      <c r="C2" s="9"/>
      <c r="D2" s="9"/>
      <c r="E2" s="9"/>
      <c r="F2" s="9"/>
      <c r="G2" s="9"/>
      <c r="H2" s="9"/>
      <c r="I2" s="9"/>
      <c r="J2" s="9"/>
      <c r="K2" s="9"/>
    </row>
    <row r="3" spans="1:11" x14ac:dyDescent="0.35">
      <c r="A3" s="10" t="s">
        <v>1</v>
      </c>
      <c r="B3" s="10"/>
      <c r="C3" s="10"/>
      <c r="D3" s="10"/>
      <c r="E3" s="10"/>
      <c r="F3" s="10"/>
      <c r="G3" s="10"/>
      <c r="H3" s="10"/>
      <c r="I3" s="10"/>
      <c r="J3" s="10"/>
      <c r="K3" s="10"/>
    </row>
    <row r="5" spans="1:11" ht="24" customHeight="1" x14ac:dyDescent="0.35">
      <c r="A5" s="11" t="s">
        <v>17</v>
      </c>
      <c r="B5" s="11"/>
      <c r="C5" s="11"/>
      <c r="D5" s="11"/>
      <c r="E5" s="11"/>
      <c r="F5" s="11"/>
      <c r="G5" s="11"/>
      <c r="H5" s="11"/>
      <c r="I5" s="11"/>
      <c r="J5" s="11"/>
      <c r="K5" s="11"/>
    </row>
    <row r="7" spans="1:11" ht="28" customHeight="1" x14ac:dyDescent="0.35">
      <c r="A7" s="2" t="s">
        <v>18</v>
      </c>
      <c r="B7" s="6">
        <v>2043.5</v>
      </c>
    </row>
    <row r="8" spans="1:11" ht="28" customHeight="1" x14ac:dyDescent="0.35">
      <c r="A8" s="2" t="s">
        <v>19</v>
      </c>
      <c r="B8" s="6">
        <v>694.9</v>
      </c>
    </row>
    <row r="9" spans="1:11" ht="28" customHeight="1" x14ac:dyDescent="0.35">
      <c r="A9" s="2" t="s">
        <v>20</v>
      </c>
      <c r="B9" s="6">
        <v>92.8</v>
      </c>
    </row>
    <row r="10" spans="1:11" ht="28" customHeight="1" x14ac:dyDescent="0.35">
      <c r="A10" s="2" t="s">
        <v>21</v>
      </c>
      <c r="B10" s="6">
        <v>88.6</v>
      </c>
    </row>
    <row r="11" spans="1:11" ht="28" customHeight="1" x14ac:dyDescent="0.35">
      <c r="A11" s="2" t="s">
        <v>22</v>
      </c>
      <c r="B11" s="6">
        <v>2.9</v>
      </c>
    </row>
    <row r="12" spans="1:11" ht="28" customHeight="1" x14ac:dyDescent="0.35">
      <c r="A12" s="2" t="s">
        <v>23</v>
      </c>
      <c r="B12" s="6">
        <v>2</v>
      </c>
    </row>
    <row r="13" spans="1:11" ht="28" customHeight="1" x14ac:dyDescent="0.35">
      <c r="A13" s="2" t="s">
        <v>24</v>
      </c>
      <c r="B13" s="6">
        <v>0.8</v>
      </c>
    </row>
    <row r="14" spans="1:11" ht="28" customHeight="1" x14ac:dyDescent="0.35">
      <c r="A14" s="2" t="s">
        <v>25</v>
      </c>
      <c r="B14" s="6">
        <v>0.2</v>
      </c>
    </row>
    <row r="15" spans="1:11" ht="28" customHeight="1" x14ac:dyDescent="0.35">
      <c r="A15" s="2" t="s">
        <v>26</v>
      </c>
      <c r="B15" s="6">
        <v>8.1</v>
      </c>
    </row>
    <row r="16" spans="1:11" ht="28" customHeight="1" x14ac:dyDescent="0.35">
      <c r="A16" s="2" t="s">
        <v>27</v>
      </c>
      <c r="B16" s="6">
        <v>893.61</v>
      </c>
    </row>
    <row r="17" spans="1:11" x14ac:dyDescent="0.35">
      <c r="A17" s="2" t="s">
        <v>31</v>
      </c>
      <c r="B17" s="5">
        <f>B14*MAX(1-B15/B16,0)</f>
        <v>0.19818712861315341</v>
      </c>
    </row>
    <row r="18" spans="1:11" x14ac:dyDescent="0.35">
      <c r="A18" s="2" t="s">
        <v>32</v>
      </c>
      <c r="B18" s="8">
        <f>SUM(B10:B13)+B17</f>
        <v>94.498187128613154</v>
      </c>
    </row>
    <row r="19" spans="1:11" ht="28" customHeight="1" x14ac:dyDescent="0.35">
      <c r="A19" s="2" t="s">
        <v>28</v>
      </c>
      <c r="B19" s="6">
        <v>0</v>
      </c>
    </row>
    <row r="20" spans="1:11" ht="28" customHeight="1" x14ac:dyDescent="0.35">
      <c r="A20" s="2" t="s">
        <v>29</v>
      </c>
      <c r="B20" s="6">
        <v>0</v>
      </c>
    </row>
    <row r="21" spans="1:11" ht="28" customHeight="1" x14ac:dyDescent="0.35">
      <c r="A21" s="2" t="s">
        <v>30</v>
      </c>
      <c r="B21" s="6">
        <v>553.4</v>
      </c>
    </row>
    <row r="23" spans="1:11" ht="24" customHeight="1" x14ac:dyDescent="0.35">
      <c r="A23" s="11" t="s">
        <v>33</v>
      </c>
      <c r="B23" s="11"/>
      <c r="C23" s="11"/>
      <c r="D23" s="11"/>
      <c r="E23" s="11"/>
      <c r="F23" s="11"/>
      <c r="G23" s="11"/>
      <c r="H23" s="11"/>
      <c r="I23" s="11"/>
      <c r="J23" s="11"/>
      <c r="K23" s="11"/>
    </row>
    <row r="24" spans="1:11" ht="29" x14ac:dyDescent="0.35">
      <c r="A24" s="1" t="s">
        <v>34</v>
      </c>
      <c r="B24" s="1" t="s">
        <v>35</v>
      </c>
      <c r="C24" s="1" t="s">
        <v>36</v>
      </c>
      <c r="D24" s="1" t="s">
        <v>37</v>
      </c>
    </row>
    <row r="25" spans="1:11" x14ac:dyDescent="0.35">
      <c r="A25" s="5">
        <v>2026</v>
      </c>
      <c r="B25" s="6">
        <v>54.8</v>
      </c>
      <c r="C25" s="6">
        <v>99.29</v>
      </c>
      <c r="D25" s="5">
        <f>B25/C25</f>
        <v>0.5519186222177459</v>
      </c>
    </row>
    <row r="26" spans="1:11" x14ac:dyDescent="0.35">
      <c r="A26" s="5">
        <v>2028</v>
      </c>
      <c r="B26" s="6">
        <v>179.6</v>
      </c>
      <c r="C26" s="6">
        <v>131.03</v>
      </c>
      <c r="D26" s="5">
        <f>B26/C26</f>
        <v>1.3706784705792565</v>
      </c>
    </row>
    <row r="27" spans="1:11" x14ac:dyDescent="0.35">
      <c r="A27" s="5">
        <v>2029</v>
      </c>
      <c r="B27" s="6">
        <v>54.9</v>
      </c>
      <c r="C27" s="6">
        <v>69.540000000000006</v>
      </c>
      <c r="D27" s="5">
        <f>B27/C27</f>
        <v>0.78947368421052622</v>
      </c>
    </row>
    <row r="28" spans="1:11" x14ac:dyDescent="0.35">
      <c r="A28" s="5">
        <v>2032</v>
      </c>
      <c r="B28" s="6">
        <v>1265</v>
      </c>
      <c r="C28" s="6">
        <v>187.77</v>
      </c>
      <c r="D28" s="5">
        <f>B28/C28</f>
        <v>6.7369654364381955</v>
      </c>
    </row>
    <row r="29" spans="1:11" x14ac:dyDescent="0.35">
      <c r="B29" s="8">
        <f>SUM(B25:B28)</f>
        <v>1554.3</v>
      </c>
      <c r="D29" s="8">
        <f>SUM(D25:D28)</f>
        <v>9.4490362134457246</v>
      </c>
    </row>
    <row r="31" spans="1:11" x14ac:dyDescent="0.35">
      <c r="A31" s="2" t="s">
        <v>38</v>
      </c>
      <c r="B31" s="8">
        <f>B18+D29</f>
        <v>103.94722334205888</v>
      </c>
    </row>
    <row r="32" spans="1:11" x14ac:dyDescent="0.35">
      <c r="A32" s="2" t="s">
        <v>39</v>
      </c>
      <c r="B32" s="8">
        <f>B7+B8-B9</f>
        <v>2645.6</v>
      </c>
    </row>
    <row r="33" spans="1:11" x14ac:dyDescent="0.35">
      <c r="A33" s="2" t="s">
        <v>40</v>
      </c>
      <c r="B33" s="5">
        <f>B9+B29</f>
        <v>1647.1</v>
      </c>
    </row>
    <row r="35" spans="1:11" ht="58" customHeight="1" x14ac:dyDescent="0.35">
      <c r="A35" s="10" t="s">
        <v>41</v>
      </c>
      <c r="B35" s="10"/>
      <c r="C35" s="10"/>
      <c r="D35" s="10"/>
      <c r="E35" s="10"/>
      <c r="F35" s="10"/>
      <c r="G35" s="10"/>
      <c r="H35" s="10"/>
      <c r="I35" s="10"/>
      <c r="J35" s="10"/>
      <c r="K35" s="10"/>
    </row>
    <row r="37" spans="1:11" ht="54" customHeight="1" x14ac:dyDescent="0.35">
      <c r="A37" s="12" t="s">
        <v>42</v>
      </c>
      <c r="B37" s="12"/>
      <c r="C37" s="12"/>
      <c r="D37" s="12"/>
      <c r="E37" s="12"/>
      <c r="F37" s="12"/>
      <c r="G37" s="12"/>
      <c r="H37" s="12"/>
      <c r="I37" s="12"/>
      <c r="J37" s="12"/>
      <c r="K37" s="12"/>
    </row>
    <row r="39" spans="1:11" ht="43" customHeight="1" x14ac:dyDescent="0.35">
      <c r="A39" s="10" t="s">
        <v>43</v>
      </c>
      <c r="B39" s="10"/>
      <c r="C39" s="10"/>
      <c r="D39" s="10"/>
      <c r="E39" s="10"/>
      <c r="F39" s="10"/>
      <c r="G39" s="10"/>
      <c r="H39" s="10"/>
      <c r="I39" s="10"/>
      <c r="J39" s="10"/>
      <c r="K39" s="10"/>
    </row>
  </sheetData>
  <mergeCells count="7">
    <mergeCell ref="A37:K37"/>
    <mergeCell ref="A39:K39"/>
    <mergeCell ref="A1:K2"/>
    <mergeCell ref="A3:K3"/>
    <mergeCell ref="A5:K5"/>
    <mergeCell ref="A23:K23"/>
    <mergeCell ref="A35:K35"/>
  </mergeCells>
  <pageMargins left="0.7" right="0.7" top="0.75" bottom="0.75" header="0.3" footer="0.3"/>
  <pageSetup paperSize="9" fitToHeight="0" orientation="landscape"/>
  <headerFooter>
    <oddFooter>&amp;LAI-assisted; sources and assumptions disclosed&amp;R&amp;P / &amp;N</oddFooter>
  </headerFooter>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pageSetUpPr fitToPage="1"/>
  </sheetPr>
  <dimension ref="A1:K26"/>
  <sheetViews>
    <sheetView showGridLines="0" zoomScale="90" zoomScaleNormal="90" workbookViewId="0">
      <pane xSplit="1" ySplit="6" topLeftCell="B7" activePane="bottomRight" state="frozen"/>
      <selection pane="topRight" activeCell="B1" sqref="B1"/>
      <selection pane="bottomLeft" activeCell="A7" sqref="A7"/>
      <selection pane="bottomRight"/>
    </sheetView>
  </sheetViews>
  <sheetFormatPr defaultRowHeight="14.5" x14ac:dyDescent="0.35"/>
  <cols>
    <col min="1" max="1" width="40.7265625" customWidth="1"/>
    <col min="2" max="11" width="14.7265625" customWidth="1"/>
  </cols>
  <sheetData>
    <row r="1" spans="1:11" x14ac:dyDescent="0.35">
      <c r="A1" s="9" t="s">
        <v>9</v>
      </c>
      <c r="B1" s="9"/>
      <c r="C1" s="9"/>
      <c r="D1" s="9"/>
      <c r="E1" s="9"/>
      <c r="F1" s="9"/>
      <c r="G1" s="9"/>
      <c r="H1" s="9"/>
      <c r="I1" s="9"/>
      <c r="J1" s="9"/>
      <c r="K1" s="9"/>
    </row>
    <row r="2" spans="1:11" x14ac:dyDescent="0.35">
      <c r="A2" s="9"/>
      <c r="B2" s="9"/>
      <c r="C2" s="9"/>
      <c r="D2" s="9"/>
      <c r="E2" s="9"/>
      <c r="F2" s="9"/>
      <c r="G2" s="9"/>
      <c r="H2" s="9"/>
      <c r="I2" s="9"/>
      <c r="J2" s="9"/>
      <c r="K2" s="9"/>
    </row>
    <row r="3" spans="1:11" x14ac:dyDescent="0.35">
      <c r="A3" s="10" t="s">
        <v>1</v>
      </c>
      <c r="B3" s="10"/>
      <c r="C3" s="10"/>
      <c r="D3" s="10"/>
      <c r="E3" s="10"/>
      <c r="F3" s="10"/>
      <c r="G3" s="10"/>
      <c r="H3" s="10"/>
      <c r="I3" s="10"/>
      <c r="J3" s="10"/>
      <c r="K3" s="10"/>
    </row>
    <row r="5" spans="1:11" ht="24" customHeight="1" x14ac:dyDescent="0.35">
      <c r="A5" s="11" t="s">
        <v>241</v>
      </c>
      <c r="B5" s="11"/>
      <c r="C5" s="11"/>
      <c r="D5" s="11"/>
      <c r="E5" s="11"/>
      <c r="F5" s="11"/>
      <c r="G5" s="11"/>
      <c r="H5" s="11"/>
      <c r="I5" s="11"/>
      <c r="J5" s="11"/>
      <c r="K5" s="11"/>
    </row>
    <row r="7" spans="1:11" x14ac:dyDescent="0.35">
      <c r="B7" s="7">
        <v>0.02</v>
      </c>
      <c r="C7" s="7">
        <v>2.5000000000000001E-2</v>
      </c>
      <c r="D7" s="7">
        <v>0.03</v>
      </c>
      <c r="E7" s="7">
        <v>3.5000000000000003E-2</v>
      </c>
      <c r="F7" s="7">
        <v>0.04</v>
      </c>
    </row>
    <row r="8" spans="1:11" ht="15.5" x14ac:dyDescent="0.35">
      <c r="A8" s="7">
        <v>0.1197418089220295</v>
      </c>
      <c r="B8" s="3">
        <f>IF((((Bull!B32*Bull!B36/(1+$A8)^Bull!B37+Bull!C32*Bull!C36/(1+$A8)^Bull!C37+Bull!D32*Bull!D36/(1+$A8)^Bull!D37+Bull!E32*Bull!E36/(1+$A8)^Bull!E37+Bull!F32*Bull!F36/(1+$A8)^Bull!F37+Bull!G32*Bull!G36/(1+$A8)^Bull!G37+Bull!H32*Bull!H36/(1+$A8)^Bull!H37+Bull!I32*Bull!I36/(1+$A8)^Bull!I37+Bull!J32*Bull!J36/(1+$A8)^Bull!J37+Bull!K32*Bull!K36/(1+$A8)^Bull!K37+((Bull!$K$20*(1+B$7))*((Bull!$K$10-Bull!$K$11)*(1-Bull!$K$12)+Bull!$K$13-Bull!$K$14)-((Bull!$K$20*(1+B$7))*Bull!$K$15-Bull!$K$30))/($A8-B$7)/(1+$A8)^Bull!$K$37)+Capital!$B$32-Capital!$B$19-Capital!$B$20-(Capital!$B$27+Capital!$B$25+Capital!$B$26+Capital!$B$28))/(Capital!$B$18+0))&lt;Capital!$C$27,(((Bull!B32*Bull!B36/(1+$A8)^Bull!B37+Bull!C32*Bull!C36/(1+$A8)^Bull!C37+Bull!D32*Bull!D36/(1+$A8)^Bull!D37+Bull!E32*Bull!E36/(1+$A8)^Bull!E37+Bull!F32*Bull!F36/(1+$A8)^Bull!F37+Bull!G32*Bull!G36/(1+$A8)^Bull!G37+Bull!H32*Bull!H36/(1+$A8)^Bull!H37+Bull!I32*Bull!I36/(1+$A8)^Bull!I37+Bull!J32*Bull!J36/(1+$A8)^Bull!J37+Bull!K32*Bull!K36/(1+$A8)^Bull!K37+((Bull!$K$20*(1+B$7))*((Bull!$K$10-Bull!$K$11)*(1-Bull!$K$12)+Bull!$K$13-Bull!$K$14)-((Bull!$K$20*(1+B$7))*Bull!$K$15-Bull!$K$30))/($A8-B$7)/(1+$A8)^Bull!$K$37)+Capital!$B$32-Capital!$B$19-Capital!$B$20-(Capital!$B$27+Capital!$B$25+Capital!$B$26+Capital!$B$28))/(Capital!$B$18+0)),(IF((((Bull!B32*Bull!B36/(1+$A8)^Bull!B37+Bull!C32*Bull!C36/(1+$A8)^Bull!C37+Bull!D32*Bull!D36/(1+$A8)^Bull!D37+Bull!E32*Bull!E36/(1+$A8)^Bull!E37+Bull!F32*Bull!F36/(1+$A8)^Bull!F37+Bull!G32*Bull!G36/(1+$A8)^Bull!G37+Bull!H32*Bull!H36/(1+$A8)^Bull!H37+Bull!I32*Bull!I36/(1+$A8)^Bull!I37+Bull!J32*Bull!J36/(1+$A8)^Bull!J37+Bull!K32*Bull!K36/(1+$A8)^Bull!K37+((Bull!$K$20*(1+B$7))*((Bull!$K$10-Bull!$K$11)*(1-Bull!$K$12)+Bull!$K$13-Bull!$K$14)-((Bull!$K$20*(1+B$7))*Bull!$K$15-Bull!$K$30))/($A8-B$7)/(1+$A8)^Bull!$K$37)+Capital!$B$32-Capital!$B$19-Capital!$B$20-(Capital!$B$25+Capital!$B$26+Capital!$B$28))/(Capital!$B$18+Capital!$D$27))&lt;Capital!$C$25,(((Bull!B32*Bull!B36/(1+$A8)^Bull!B37+Bull!C32*Bull!C36/(1+$A8)^Bull!C37+Bull!D32*Bull!D36/(1+$A8)^Bull!D37+Bull!E32*Bull!E36/(1+$A8)^Bull!E37+Bull!F32*Bull!F36/(1+$A8)^Bull!F37+Bull!G32*Bull!G36/(1+$A8)^Bull!G37+Bull!H32*Bull!H36/(1+$A8)^Bull!H37+Bull!I32*Bull!I36/(1+$A8)^Bull!I37+Bull!J32*Bull!J36/(1+$A8)^Bull!J37+Bull!K32*Bull!K36/(1+$A8)^Bull!K37+((Bull!$K$20*(1+B$7))*((Bull!$K$10-Bull!$K$11)*(1-Bull!$K$12)+Bull!$K$13-Bull!$K$14)-((Bull!$K$20*(1+B$7))*Bull!$K$15-Bull!$K$30))/($A8-B$7)/(1+$A8)^Bull!$K$37)+Capital!$B$32-Capital!$B$19-Capital!$B$20-(Capital!$B$25+Capital!$B$26+Capital!$B$28))/(Capital!$B$18+Capital!$D$27)),(IF((((Bull!B32*Bull!B36/(1+$A8)^Bull!B37+Bull!C32*Bull!C36/(1+$A8)^Bull!C37+Bull!D32*Bull!D36/(1+$A8)^Bull!D37+Bull!E32*Bull!E36/(1+$A8)^Bull!E37+Bull!F32*Bull!F36/(1+$A8)^Bull!F37+Bull!G32*Bull!G36/(1+$A8)^Bull!G37+Bull!H32*Bull!H36/(1+$A8)^Bull!H37+Bull!I32*Bull!I36/(1+$A8)^Bull!I37+Bull!J32*Bull!J36/(1+$A8)^Bull!J37+Bull!K32*Bull!K36/(1+$A8)^Bull!K37+((Bull!$K$20*(1+B$7))*((Bull!$K$10-Bull!$K$11)*(1-Bull!$K$12)+Bull!$K$13-Bull!$K$14)-((Bull!$K$20*(1+B$7))*Bull!$K$15-Bull!$K$30))/($A8-B$7)/(1+$A8)^Bull!$K$37)+Capital!$B$32-Capital!$B$19-Capital!$B$20-(Capital!$B$26+Capital!$B$28))/(Capital!$B$18+Capital!$D$27+Capital!$D$25))&lt;Capital!$C$26,(((Bull!B32*Bull!B36/(1+$A8)^Bull!B37+Bull!C32*Bull!C36/(1+$A8)^Bull!C37+Bull!D32*Bull!D36/(1+$A8)^Bull!D37+Bull!E32*Bull!E36/(1+$A8)^Bull!E37+Bull!F32*Bull!F36/(1+$A8)^Bull!F37+Bull!G32*Bull!G36/(1+$A8)^Bull!G37+Bull!H32*Bull!H36/(1+$A8)^Bull!H37+Bull!I32*Bull!I36/(1+$A8)^Bull!I37+Bull!J32*Bull!J36/(1+$A8)^Bull!J37+Bull!K32*Bull!K36/(1+$A8)^Bull!K37+((Bull!$K$20*(1+B$7))*((Bull!$K$10-Bull!$K$11)*(1-Bull!$K$12)+Bull!$K$13-Bull!$K$14)-((Bull!$K$20*(1+B$7))*Bull!$K$15-Bull!$K$30))/($A8-B$7)/(1+$A8)^Bull!$K$37)+Capital!$B$32-Capital!$B$19-Capital!$B$20-(Capital!$B$26+Capital!$B$28))/(Capital!$B$18+Capital!$D$27+Capital!$D$25)),(IF((((Bull!B32*Bull!B36/(1+$A8)^Bull!B37+Bull!C32*Bull!C36/(1+$A8)^Bull!C37+Bull!D32*Bull!D36/(1+$A8)^Bull!D37+Bull!E32*Bull!E36/(1+$A8)^Bull!E37+Bull!F32*Bull!F36/(1+$A8)^Bull!F37+Bull!G32*Bull!G36/(1+$A8)^Bull!G37+Bull!H32*Bull!H36/(1+$A8)^Bull!H37+Bull!I32*Bull!I36/(1+$A8)^Bull!I37+Bull!J32*Bull!J36/(1+$A8)^Bull!J37+Bull!K32*Bull!K36/(1+$A8)^Bull!K37+((Bull!$K$20*(1+B$7))*((Bull!$K$10-Bull!$K$11)*(1-Bull!$K$12)+Bull!$K$13-Bull!$K$14)-((Bull!$K$20*(1+B$7))*Bull!$K$15-Bull!$K$30))/($A8-B$7)/(1+$A8)^Bull!$K$37)+Capital!$B$32-Capital!$B$19-Capital!$B$20-(Capital!$B$28))/(Capital!$B$18+Capital!$D$27+Capital!$D$25+Capital!$D$26))&lt;Capital!$C$28,(((Bull!B32*Bull!B36/(1+$A8)^Bull!B37+Bull!C32*Bull!C36/(1+$A8)^Bull!C37+Bull!D32*Bull!D36/(1+$A8)^Bull!D37+Bull!E32*Bull!E36/(1+$A8)^Bull!E37+Bull!F32*Bull!F36/(1+$A8)^Bull!F37+Bull!G32*Bull!G36/(1+$A8)^Bull!G37+Bull!H32*Bull!H36/(1+$A8)^Bull!H37+Bull!I32*Bull!I36/(1+$A8)^Bull!I37+Bull!J32*Bull!J36/(1+$A8)^Bull!J37+Bull!K32*Bull!K36/(1+$A8)^Bull!K37+((Bull!$K$20*(1+B$7))*((Bull!$K$10-Bull!$K$11)*(1-Bull!$K$12)+Bull!$K$13-Bull!$K$14)-((Bull!$K$20*(1+B$7))*Bull!$K$15-Bull!$K$30))/($A8-B$7)/(1+$A8)^Bull!$K$37)+Capital!$B$32-Capital!$B$19-Capital!$B$20-(Capital!$B$28))/(Capital!$B$18+Capital!$D$27+Capital!$D$25+Capital!$D$26)),(((Bull!B32*Bull!B36/(1+$A8)^Bull!B37+Bull!C32*Bull!C36/(1+$A8)^Bull!C37+Bull!D32*Bull!D36/(1+$A8)^Bull!D37+Bull!E32*Bull!E36/(1+$A8)^Bull!E37+Bull!F32*Bull!F36/(1+$A8)^Bull!F37+Bull!G32*Bull!G36/(1+$A8)^Bull!G37+Bull!H32*Bull!H36/(1+$A8)^Bull!H37+Bull!I32*Bull!I36/(1+$A8)^Bull!I37+Bull!J32*Bull!J36/(1+$A8)^Bull!J37+Bull!K32*Bull!K36/(1+$A8)^Bull!K37+((Bull!$K$20*(1+B$7))*((Bull!$K$10-Bull!$K$11)*(1-Bull!$K$12)+Bull!$K$13-Bull!$K$14)-((Bull!$K$20*(1+B$7))*Bull!$K$15-Bull!$K$30))/($A8-B$7)/(1+$A8)^Bull!$K$37)+Capital!$B$32-Capital!$B$19-Capital!$B$20-(0))/(Capital!$B$18+Capital!$D$27+Capital!$D$25+Capital!$D$26+Capital!$D$28)))))))))</f>
        <v>349.9704286657327</v>
      </c>
      <c r="C8" s="3">
        <f>IF((((Bull!B32*Bull!B36/(1+$A8)^Bull!B37+Bull!C32*Bull!C36/(1+$A8)^Bull!C37+Bull!D32*Bull!D36/(1+$A8)^Bull!D37+Bull!E32*Bull!E36/(1+$A8)^Bull!E37+Bull!F32*Bull!F36/(1+$A8)^Bull!F37+Bull!G32*Bull!G36/(1+$A8)^Bull!G37+Bull!H32*Bull!H36/(1+$A8)^Bull!H37+Bull!I32*Bull!I36/(1+$A8)^Bull!I37+Bull!J32*Bull!J36/(1+$A8)^Bull!J37+Bull!K32*Bull!K36/(1+$A8)^Bull!K37+((Bull!$K$20*(1+C$7))*((Bull!$K$10-Bull!$K$11)*(1-Bull!$K$12)+Bull!$K$13-Bull!$K$14)-((Bull!$K$20*(1+C$7))*Bull!$K$15-Bull!$K$30))/($A8-C$7)/(1+$A8)^Bull!$K$37)+Capital!$B$32-Capital!$B$19-Capital!$B$20-(Capital!$B$27+Capital!$B$25+Capital!$B$26+Capital!$B$28))/(Capital!$B$18+0))&lt;Capital!$C$27,(((Bull!B32*Bull!B36/(1+$A8)^Bull!B37+Bull!C32*Bull!C36/(1+$A8)^Bull!C37+Bull!D32*Bull!D36/(1+$A8)^Bull!D37+Bull!E32*Bull!E36/(1+$A8)^Bull!E37+Bull!F32*Bull!F36/(1+$A8)^Bull!F37+Bull!G32*Bull!G36/(1+$A8)^Bull!G37+Bull!H32*Bull!H36/(1+$A8)^Bull!H37+Bull!I32*Bull!I36/(1+$A8)^Bull!I37+Bull!J32*Bull!J36/(1+$A8)^Bull!J37+Bull!K32*Bull!K36/(1+$A8)^Bull!K37+((Bull!$K$20*(1+C$7))*((Bull!$K$10-Bull!$K$11)*(1-Bull!$K$12)+Bull!$K$13-Bull!$K$14)-((Bull!$K$20*(1+C$7))*Bull!$K$15-Bull!$K$30))/($A8-C$7)/(1+$A8)^Bull!$K$37)+Capital!$B$32-Capital!$B$19-Capital!$B$20-(Capital!$B$27+Capital!$B$25+Capital!$B$26+Capital!$B$28))/(Capital!$B$18+0)),(IF((((Bull!B32*Bull!B36/(1+$A8)^Bull!B37+Bull!C32*Bull!C36/(1+$A8)^Bull!C37+Bull!D32*Bull!D36/(1+$A8)^Bull!D37+Bull!E32*Bull!E36/(1+$A8)^Bull!E37+Bull!F32*Bull!F36/(1+$A8)^Bull!F37+Bull!G32*Bull!G36/(1+$A8)^Bull!G37+Bull!H32*Bull!H36/(1+$A8)^Bull!H37+Bull!I32*Bull!I36/(1+$A8)^Bull!I37+Bull!J32*Bull!J36/(1+$A8)^Bull!J37+Bull!K32*Bull!K36/(1+$A8)^Bull!K37+((Bull!$K$20*(1+C$7))*((Bull!$K$10-Bull!$K$11)*(1-Bull!$K$12)+Bull!$K$13-Bull!$K$14)-((Bull!$K$20*(1+C$7))*Bull!$K$15-Bull!$K$30))/($A8-C$7)/(1+$A8)^Bull!$K$37)+Capital!$B$32-Capital!$B$19-Capital!$B$20-(Capital!$B$25+Capital!$B$26+Capital!$B$28))/(Capital!$B$18+Capital!$D$27))&lt;Capital!$C$25,(((Bull!B32*Bull!B36/(1+$A8)^Bull!B37+Bull!C32*Bull!C36/(1+$A8)^Bull!C37+Bull!D32*Bull!D36/(1+$A8)^Bull!D37+Bull!E32*Bull!E36/(1+$A8)^Bull!E37+Bull!F32*Bull!F36/(1+$A8)^Bull!F37+Bull!G32*Bull!G36/(1+$A8)^Bull!G37+Bull!H32*Bull!H36/(1+$A8)^Bull!H37+Bull!I32*Bull!I36/(1+$A8)^Bull!I37+Bull!J32*Bull!J36/(1+$A8)^Bull!J37+Bull!K32*Bull!K36/(1+$A8)^Bull!K37+((Bull!$K$20*(1+C$7))*((Bull!$K$10-Bull!$K$11)*(1-Bull!$K$12)+Bull!$K$13-Bull!$K$14)-((Bull!$K$20*(1+C$7))*Bull!$K$15-Bull!$K$30))/($A8-C$7)/(1+$A8)^Bull!$K$37)+Capital!$B$32-Capital!$B$19-Capital!$B$20-(Capital!$B$25+Capital!$B$26+Capital!$B$28))/(Capital!$B$18+Capital!$D$27)),(IF((((Bull!B32*Bull!B36/(1+$A8)^Bull!B37+Bull!C32*Bull!C36/(1+$A8)^Bull!C37+Bull!D32*Bull!D36/(1+$A8)^Bull!D37+Bull!E32*Bull!E36/(1+$A8)^Bull!E37+Bull!F32*Bull!F36/(1+$A8)^Bull!F37+Bull!G32*Bull!G36/(1+$A8)^Bull!G37+Bull!H32*Bull!H36/(1+$A8)^Bull!H37+Bull!I32*Bull!I36/(1+$A8)^Bull!I37+Bull!J32*Bull!J36/(1+$A8)^Bull!J37+Bull!K32*Bull!K36/(1+$A8)^Bull!K37+((Bull!$K$20*(1+C$7))*((Bull!$K$10-Bull!$K$11)*(1-Bull!$K$12)+Bull!$K$13-Bull!$K$14)-((Bull!$K$20*(1+C$7))*Bull!$K$15-Bull!$K$30))/($A8-C$7)/(1+$A8)^Bull!$K$37)+Capital!$B$32-Capital!$B$19-Capital!$B$20-(Capital!$B$26+Capital!$B$28))/(Capital!$B$18+Capital!$D$27+Capital!$D$25))&lt;Capital!$C$26,(((Bull!B32*Bull!B36/(1+$A8)^Bull!B37+Bull!C32*Bull!C36/(1+$A8)^Bull!C37+Bull!D32*Bull!D36/(1+$A8)^Bull!D37+Bull!E32*Bull!E36/(1+$A8)^Bull!E37+Bull!F32*Bull!F36/(1+$A8)^Bull!F37+Bull!G32*Bull!G36/(1+$A8)^Bull!G37+Bull!H32*Bull!H36/(1+$A8)^Bull!H37+Bull!I32*Bull!I36/(1+$A8)^Bull!I37+Bull!J32*Bull!J36/(1+$A8)^Bull!J37+Bull!K32*Bull!K36/(1+$A8)^Bull!K37+((Bull!$K$20*(1+C$7))*((Bull!$K$10-Bull!$K$11)*(1-Bull!$K$12)+Bull!$K$13-Bull!$K$14)-((Bull!$K$20*(1+C$7))*Bull!$K$15-Bull!$K$30))/($A8-C$7)/(1+$A8)^Bull!$K$37)+Capital!$B$32-Capital!$B$19-Capital!$B$20-(Capital!$B$26+Capital!$B$28))/(Capital!$B$18+Capital!$D$27+Capital!$D$25)),(IF((((Bull!B32*Bull!B36/(1+$A8)^Bull!B37+Bull!C32*Bull!C36/(1+$A8)^Bull!C37+Bull!D32*Bull!D36/(1+$A8)^Bull!D37+Bull!E32*Bull!E36/(1+$A8)^Bull!E37+Bull!F32*Bull!F36/(1+$A8)^Bull!F37+Bull!G32*Bull!G36/(1+$A8)^Bull!G37+Bull!H32*Bull!H36/(1+$A8)^Bull!H37+Bull!I32*Bull!I36/(1+$A8)^Bull!I37+Bull!J32*Bull!J36/(1+$A8)^Bull!J37+Bull!K32*Bull!K36/(1+$A8)^Bull!K37+((Bull!$K$20*(1+C$7))*((Bull!$K$10-Bull!$K$11)*(1-Bull!$K$12)+Bull!$K$13-Bull!$K$14)-((Bull!$K$20*(1+C$7))*Bull!$K$15-Bull!$K$30))/($A8-C$7)/(1+$A8)^Bull!$K$37)+Capital!$B$32-Capital!$B$19-Capital!$B$20-(Capital!$B$28))/(Capital!$B$18+Capital!$D$27+Capital!$D$25+Capital!$D$26))&lt;Capital!$C$28,(((Bull!B32*Bull!B36/(1+$A8)^Bull!B37+Bull!C32*Bull!C36/(1+$A8)^Bull!C37+Bull!D32*Bull!D36/(1+$A8)^Bull!D37+Bull!E32*Bull!E36/(1+$A8)^Bull!E37+Bull!F32*Bull!F36/(1+$A8)^Bull!F37+Bull!G32*Bull!G36/(1+$A8)^Bull!G37+Bull!H32*Bull!H36/(1+$A8)^Bull!H37+Bull!I32*Bull!I36/(1+$A8)^Bull!I37+Bull!J32*Bull!J36/(1+$A8)^Bull!J37+Bull!K32*Bull!K36/(1+$A8)^Bull!K37+((Bull!$K$20*(1+C$7))*((Bull!$K$10-Bull!$K$11)*(1-Bull!$K$12)+Bull!$K$13-Bull!$K$14)-((Bull!$K$20*(1+C$7))*Bull!$K$15-Bull!$K$30))/($A8-C$7)/(1+$A8)^Bull!$K$37)+Capital!$B$32-Capital!$B$19-Capital!$B$20-(Capital!$B$28))/(Capital!$B$18+Capital!$D$27+Capital!$D$25+Capital!$D$26)),(((Bull!B32*Bull!B36/(1+$A8)^Bull!B37+Bull!C32*Bull!C36/(1+$A8)^Bull!C37+Bull!D32*Bull!D36/(1+$A8)^Bull!D37+Bull!E32*Bull!E36/(1+$A8)^Bull!E37+Bull!F32*Bull!F36/(1+$A8)^Bull!F37+Bull!G32*Bull!G36/(1+$A8)^Bull!G37+Bull!H32*Bull!H36/(1+$A8)^Bull!H37+Bull!I32*Bull!I36/(1+$A8)^Bull!I37+Bull!J32*Bull!J36/(1+$A8)^Bull!J37+Bull!K32*Bull!K36/(1+$A8)^Bull!K37+((Bull!$K$20*(1+C$7))*((Bull!$K$10-Bull!$K$11)*(1-Bull!$K$12)+Bull!$K$13-Bull!$K$14)-((Bull!$K$20*(1+C$7))*Bull!$K$15-Bull!$K$30))/($A8-C$7)/(1+$A8)^Bull!$K$37)+Capital!$B$32-Capital!$B$19-Capital!$B$20-(0))/(Capital!$B$18+Capital!$D$27+Capital!$D$25+Capital!$D$26+Capital!$D$28)))))))))</f>
        <v>357.15252791732797</v>
      </c>
      <c r="D8" s="3">
        <f>IF((((Bull!B32*Bull!B36/(1+$A8)^Bull!B37+Bull!C32*Bull!C36/(1+$A8)^Bull!C37+Bull!D32*Bull!D36/(1+$A8)^Bull!D37+Bull!E32*Bull!E36/(1+$A8)^Bull!E37+Bull!F32*Bull!F36/(1+$A8)^Bull!F37+Bull!G32*Bull!G36/(1+$A8)^Bull!G37+Bull!H32*Bull!H36/(1+$A8)^Bull!H37+Bull!I32*Bull!I36/(1+$A8)^Bull!I37+Bull!J32*Bull!J36/(1+$A8)^Bull!J37+Bull!K32*Bull!K36/(1+$A8)^Bull!K37+((Bull!$K$20*(1+D$7))*((Bull!$K$10-Bull!$K$11)*(1-Bull!$K$12)+Bull!$K$13-Bull!$K$14)-((Bull!$K$20*(1+D$7))*Bull!$K$15-Bull!$K$30))/($A8-D$7)/(1+$A8)^Bull!$K$37)+Capital!$B$32-Capital!$B$19-Capital!$B$20-(Capital!$B$27+Capital!$B$25+Capital!$B$26+Capital!$B$28))/(Capital!$B$18+0))&lt;Capital!$C$27,(((Bull!B32*Bull!B36/(1+$A8)^Bull!B37+Bull!C32*Bull!C36/(1+$A8)^Bull!C37+Bull!D32*Bull!D36/(1+$A8)^Bull!D37+Bull!E32*Bull!E36/(1+$A8)^Bull!E37+Bull!F32*Bull!F36/(1+$A8)^Bull!F37+Bull!G32*Bull!G36/(1+$A8)^Bull!G37+Bull!H32*Bull!H36/(1+$A8)^Bull!H37+Bull!I32*Bull!I36/(1+$A8)^Bull!I37+Bull!J32*Bull!J36/(1+$A8)^Bull!J37+Bull!K32*Bull!K36/(1+$A8)^Bull!K37+((Bull!$K$20*(1+D$7))*((Bull!$K$10-Bull!$K$11)*(1-Bull!$K$12)+Bull!$K$13-Bull!$K$14)-((Bull!$K$20*(1+D$7))*Bull!$K$15-Bull!$K$30))/($A8-D$7)/(1+$A8)^Bull!$K$37)+Capital!$B$32-Capital!$B$19-Capital!$B$20-(Capital!$B$27+Capital!$B$25+Capital!$B$26+Capital!$B$28))/(Capital!$B$18+0)),(IF((((Bull!B32*Bull!B36/(1+$A8)^Bull!B37+Bull!C32*Bull!C36/(1+$A8)^Bull!C37+Bull!D32*Bull!D36/(1+$A8)^Bull!D37+Bull!E32*Bull!E36/(1+$A8)^Bull!E37+Bull!F32*Bull!F36/(1+$A8)^Bull!F37+Bull!G32*Bull!G36/(1+$A8)^Bull!G37+Bull!H32*Bull!H36/(1+$A8)^Bull!H37+Bull!I32*Bull!I36/(1+$A8)^Bull!I37+Bull!J32*Bull!J36/(1+$A8)^Bull!J37+Bull!K32*Bull!K36/(1+$A8)^Bull!K37+((Bull!$K$20*(1+D$7))*((Bull!$K$10-Bull!$K$11)*(1-Bull!$K$12)+Bull!$K$13-Bull!$K$14)-((Bull!$K$20*(1+D$7))*Bull!$K$15-Bull!$K$30))/($A8-D$7)/(1+$A8)^Bull!$K$37)+Capital!$B$32-Capital!$B$19-Capital!$B$20-(Capital!$B$25+Capital!$B$26+Capital!$B$28))/(Capital!$B$18+Capital!$D$27))&lt;Capital!$C$25,(((Bull!B32*Bull!B36/(1+$A8)^Bull!B37+Bull!C32*Bull!C36/(1+$A8)^Bull!C37+Bull!D32*Bull!D36/(1+$A8)^Bull!D37+Bull!E32*Bull!E36/(1+$A8)^Bull!E37+Bull!F32*Bull!F36/(1+$A8)^Bull!F37+Bull!G32*Bull!G36/(1+$A8)^Bull!G37+Bull!H32*Bull!H36/(1+$A8)^Bull!H37+Bull!I32*Bull!I36/(1+$A8)^Bull!I37+Bull!J32*Bull!J36/(1+$A8)^Bull!J37+Bull!K32*Bull!K36/(1+$A8)^Bull!K37+((Bull!$K$20*(1+D$7))*((Bull!$K$10-Bull!$K$11)*(1-Bull!$K$12)+Bull!$K$13-Bull!$K$14)-((Bull!$K$20*(1+D$7))*Bull!$K$15-Bull!$K$30))/($A8-D$7)/(1+$A8)^Bull!$K$37)+Capital!$B$32-Capital!$B$19-Capital!$B$20-(Capital!$B$25+Capital!$B$26+Capital!$B$28))/(Capital!$B$18+Capital!$D$27)),(IF((((Bull!B32*Bull!B36/(1+$A8)^Bull!B37+Bull!C32*Bull!C36/(1+$A8)^Bull!C37+Bull!D32*Bull!D36/(1+$A8)^Bull!D37+Bull!E32*Bull!E36/(1+$A8)^Bull!E37+Bull!F32*Bull!F36/(1+$A8)^Bull!F37+Bull!G32*Bull!G36/(1+$A8)^Bull!G37+Bull!H32*Bull!H36/(1+$A8)^Bull!H37+Bull!I32*Bull!I36/(1+$A8)^Bull!I37+Bull!J32*Bull!J36/(1+$A8)^Bull!J37+Bull!K32*Bull!K36/(1+$A8)^Bull!K37+((Bull!$K$20*(1+D$7))*((Bull!$K$10-Bull!$K$11)*(1-Bull!$K$12)+Bull!$K$13-Bull!$K$14)-((Bull!$K$20*(1+D$7))*Bull!$K$15-Bull!$K$30))/($A8-D$7)/(1+$A8)^Bull!$K$37)+Capital!$B$32-Capital!$B$19-Capital!$B$20-(Capital!$B$26+Capital!$B$28))/(Capital!$B$18+Capital!$D$27+Capital!$D$25))&lt;Capital!$C$26,(((Bull!B32*Bull!B36/(1+$A8)^Bull!B37+Bull!C32*Bull!C36/(1+$A8)^Bull!C37+Bull!D32*Bull!D36/(1+$A8)^Bull!D37+Bull!E32*Bull!E36/(1+$A8)^Bull!E37+Bull!F32*Bull!F36/(1+$A8)^Bull!F37+Bull!G32*Bull!G36/(1+$A8)^Bull!G37+Bull!H32*Bull!H36/(1+$A8)^Bull!H37+Bull!I32*Bull!I36/(1+$A8)^Bull!I37+Bull!J32*Bull!J36/(1+$A8)^Bull!J37+Bull!K32*Bull!K36/(1+$A8)^Bull!K37+((Bull!$K$20*(1+D$7))*((Bull!$K$10-Bull!$K$11)*(1-Bull!$K$12)+Bull!$K$13-Bull!$K$14)-((Bull!$K$20*(1+D$7))*Bull!$K$15-Bull!$K$30))/($A8-D$7)/(1+$A8)^Bull!$K$37)+Capital!$B$32-Capital!$B$19-Capital!$B$20-(Capital!$B$26+Capital!$B$28))/(Capital!$B$18+Capital!$D$27+Capital!$D$25)),(IF((((Bull!B32*Bull!B36/(1+$A8)^Bull!B37+Bull!C32*Bull!C36/(1+$A8)^Bull!C37+Bull!D32*Bull!D36/(1+$A8)^Bull!D37+Bull!E32*Bull!E36/(1+$A8)^Bull!E37+Bull!F32*Bull!F36/(1+$A8)^Bull!F37+Bull!G32*Bull!G36/(1+$A8)^Bull!G37+Bull!H32*Bull!H36/(1+$A8)^Bull!H37+Bull!I32*Bull!I36/(1+$A8)^Bull!I37+Bull!J32*Bull!J36/(1+$A8)^Bull!J37+Bull!K32*Bull!K36/(1+$A8)^Bull!K37+((Bull!$K$20*(1+D$7))*((Bull!$K$10-Bull!$K$11)*(1-Bull!$K$12)+Bull!$K$13-Bull!$K$14)-((Bull!$K$20*(1+D$7))*Bull!$K$15-Bull!$K$30))/($A8-D$7)/(1+$A8)^Bull!$K$37)+Capital!$B$32-Capital!$B$19-Capital!$B$20-(Capital!$B$28))/(Capital!$B$18+Capital!$D$27+Capital!$D$25+Capital!$D$26))&lt;Capital!$C$28,(((Bull!B32*Bull!B36/(1+$A8)^Bull!B37+Bull!C32*Bull!C36/(1+$A8)^Bull!C37+Bull!D32*Bull!D36/(1+$A8)^Bull!D37+Bull!E32*Bull!E36/(1+$A8)^Bull!E37+Bull!F32*Bull!F36/(1+$A8)^Bull!F37+Bull!G32*Bull!G36/(1+$A8)^Bull!G37+Bull!H32*Bull!H36/(1+$A8)^Bull!H37+Bull!I32*Bull!I36/(1+$A8)^Bull!I37+Bull!J32*Bull!J36/(1+$A8)^Bull!J37+Bull!K32*Bull!K36/(1+$A8)^Bull!K37+((Bull!$K$20*(1+D$7))*((Bull!$K$10-Bull!$K$11)*(1-Bull!$K$12)+Bull!$K$13-Bull!$K$14)-((Bull!$K$20*(1+D$7))*Bull!$K$15-Bull!$K$30))/($A8-D$7)/(1+$A8)^Bull!$K$37)+Capital!$B$32-Capital!$B$19-Capital!$B$20-(Capital!$B$28))/(Capital!$B$18+Capital!$D$27+Capital!$D$25+Capital!$D$26)),(((Bull!B32*Bull!B36/(1+$A8)^Bull!B37+Bull!C32*Bull!C36/(1+$A8)^Bull!C37+Bull!D32*Bull!D36/(1+$A8)^Bull!D37+Bull!E32*Bull!E36/(1+$A8)^Bull!E37+Bull!F32*Bull!F36/(1+$A8)^Bull!F37+Bull!G32*Bull!G36/(1+$A8)^Bull!G37+Bull!H32*Bull!H36/(1+$A8)^Bull!H37+Bull!I32*Bull!I36/(1+$A8)^Bull!I37+Bull!J32*Bull!J36/(1+$A8)^Bull!J37+Bull!K32*Bull!K36/(1+$A8)^Bull!K37+((Bull!$K$20*(1+D$7))*((Bull!$K$10-Bull!$K$11)*(1-Bull!$K$12)+Bull!$K$13-Bull!$K$14)-((Bull!$K$20*(1+D$7))*Bull!$K$15-Bull!$K$30))/($A8-D$7)/(1+$A8)^Bull!$K$37)+Capital!$B$32-Capital!$B$19-Capital!$B$20-(0))/(Capital!$B$18+Capital!$D$27+Capital!$D$25+Capital!$D$26+Capital!$D$28)))))))))</f>
        <v>365.13493410922968</v>
      </c>
      <c r="E8" s="3">
        <f>IF((((Bull!B32*Bull!B36/(1+$A8)^Bull!B37+Bull!C32*Bull!C36/(1+$A8)^Bull!C37+Bull!D32*Bull!D36/(1+$A8)^Bull!D37+Bull!E32*Bull!E36/(1+$A8)^Bull!E37+Bull!F32*Bull!F36/(1+$A8)^Bull!F37+Bull!G32*Bull!G36/(1+$A8)^Bull!G37+Bull!H32*Bull!H36/(1+$A8)^Bull!H37+Bull!I32*Bull!I36/(1+$A8)^Bull!I37+Bull!J32*Bull!J36/(1+$A8)^Bull!J37+Bull!K32*Bull!K36/(1+$A8)^Bull!K37+((Bull!$K$20*(1+E$7))*((Bull!$K$10-Bull!$K$11)*(1-Bull!$K$12)+Bull!$K$13-Bull!$K$14)-((Bull!$K$20*(1+E$7))*Bull!$K$15-Bull!$K$30))/($A8-E$7)/(1+$A8)^Bull!$K$37)+Capital!$B$32-Capital!$B$19-Capital!$B$20-(Capital!$B$27+Capital!$B$25+Capital!$B$26+Capital!$B$28))/(Capital!$B$18+0))&lt;Capital!$C$27,(((Bull!B32*Bull!B36/(1+$A8)^Bull!B37+Bull!C32*Bull!C36/(1+$A8)^Bull!C37+Bull!D32*Bull!D36/(1+$A8)^Bull!D37+Bull!E32*Bull!E36/(1+$A8)^Bull!E37+Bull!F32*Bull!F36/(1+$A8)^Bull!F37+Bull!G32*Bull!G36/(1+$A8)^Bull!G37+Bull!H32*Bull!H36/(1+$A8)^Bull!H37+Bull!I32*Bull!I36/(1+$A8)^Bull!I37+Bull!J32*Bull!J36/(1+$A8)^Bull!J37+Bull!K32*Bull!K36/(1+$A8)^Bull!K37+((Bull!$K$20*(1+E$7))*((Bull!$K$10-Bull!$K$11)*(1-Bull!$K$12)+Bull!$K$13-Bull!$K$14)-((Bull!$K$20*(1+E$7))*Bull!$K$15-Bull!$K$30))/($A8-E$7)/(1+$A8)^Bull!$K$37)+Capital!$B$32-Capital!$B$19-Capital!$B$20-(Capital!$B$27+Capital!$B$25+Capital!$B$26+Capital!$B$28))/(Capital!$B$18+0)),(IF((((Bull!B32*Bull!B36/(1+$A8)^Bull!B37+Bull!C32*Bull!C36/(1+$A8)^Bull!C37+Bull!D32*Bull!D36/(1+$A8)^Bull!D37+Bull!E32*Bull!E36/(1+$A8)^Bull!E37+Bull!F32*Bull!F36/(1+$A8)^Bull!F37+Bull!G32*Bull!G36/(1+$A8)^Bull!G37+Bull!H32*Bull!H36/(1+$A8)^Bull!H37+Bull!I32*Bull!I36/(1+$A8)^Bull!I37+Bull!J32*Bull!J36/(1+$A8)^Bull!J37+Bull!K32*Bull!K36/(1+$A8)^Bull!K37+((Bull!$K$20*(1+E$7))*((Bull!$K$10-Bull!$K$11)*(1-Bull!$K$12)+Bull!$K$13-Bull!$K$14)-((Bull!$K$20*(1+E$7))*Bull!$K$15-Bull!$K$30))/($A8-E$7)/(1+$A8)^Bull!$K$37)+Capital!$B$32-Capital!$B$19-Capital!$B$20-(Capital!$B$25+Capital!$B$26+Capital!$B$28))/(Capital!$B$18+Capital!$D$27))&lt;Capital!$C$25,(((Bull!B32*Bull!B36/(1+$A8)^Bull!B37+Bull!C32*Bull!C36/(1+$A8)^Bull!C37+Bull!D32*Bull!D36/(1+$A8)^Bull!D37+Bull!E32*Bull!E36/(1+$A8)^Bull!E37+Bull!F32*Bull!F36/(1+$A8)^Bull!F37+Bull!G32*Bull!G36/(1+$A8)^Bull!G37+Bull!H32*Bull!H36/(1+$A8)^Bull!H37+Bull!I32*Bull!I36/(1+$A8)^Bull!I37+Bull!J32*Bull!J36/(1+$A8)^Bull!J37+Bull!K32*Bull!K36/(1+$A8)^Bull!K37+((Bull!$K$20*(1+E$7))*((Bull!$K$10-Bull!$K$11)*(1-Bull!$K$12)+Bull!$K$13-Bull!$K$14)-((Bull!$K$20*(1+E$7))*Bull!$K$15-Bull!$K$30))/($A8-E$7)/(1+$A8)^Bull!$K$37)+Capital!$B$32-Capital!$B$19-Capital!$B$20-(Capital!$B$25+Capital!$B$26+Capital!$B$28))/(Capital!$B$18+Capital!$D$27)),(IF((((Bull!B32*Bull!B36/(1+$A8)^Bull!B37+Bull!C32*Bull!C36/(1+$A8)^Bull!C37+Bull!D32*Bull!D36/(1+$A8)^Bull!D37+Bull!E32*Bull!E36/(1+$A8)^Bull!E37+Bull!F32*Bull!F36/(1+$A8)^Bull!F37+Bull!G32*Bull!G36/(1+$A8)^Bull!G37+Bull!H32*Bull!H36/(1+$A8)^Bull!H37+Bull!I32*Bull!I36/(1+$A8)^Bull!I37+Bull!J32*Bull!J36/(1+$A8)^Bull!J37+Bull!K32*Bull!K36/(1+$A8)^Bull!K37+((Bull!$K$20*(1+E$7))*((Bull!$K$10-Bull!$K$11)*(1-Bull!$K$12)+Bull!$K$13-Bull!$K$14)-((Bull!$K$20*(1+E$7))*Bull!$K$15-Bull!$K$30))/($A8-E$7)/(1+$A8)^Bull!$K$37)+Capital!$B$32-Capital!$B$19-Capital!$B$20-(Capital!$B$26+Capital!$B$28))/(Capital!$B$18+Capital!$D$27+Capital!$D$25))&lt;Capital!$C$26,(((Bull!B32*Bull!B36/(1+$A8)^Bull!B37+Bull!C32*Bull!C36/(1+$A8)^Bull!C37+Bull!D32*Bull!D36/(1+$A8)^Bull!D37+Bull!E32*Bull!E36/(1+$A8)^Bull!E37+Bull!F32*Bull!F36/(1+$A8)^Bull!F37+Bull!G32*Bull!G36/(1+$A8)^Bull!G37+Bull!H32*Bull!H36/(1+$A8)^Bull!H37+Bull!I32*Bull!I36/(1+$A8)^Bull!I37+Bull!J32*Bull!J36/(1+$A8)^Bull!J37+Bull!K32*Bull!K36/(1+$A8)^Bull!K37+((Bull!$K$20*(1+E$7))*((Bull!$K$10-Bull!$K$11)*(1-Bull!$K$12)+Bull!$K$13-Bull!$K$14)-((Bull!$K$20*(1+E$7))*Bull!$K$15-Bull!$K$30))/($A8-E$7)/(1+$A8)^Bull!$K$37)+Capital!$B$32-Capital!$B$19-Capital!$B$20-(Capital!$B$26+Capital!$B$28))/(Capital!$B$18+Capital!$D$27+Capital!$D$25)),(IF((((Bull!B32*Bull!B36/(1+$A8)^Bull!B37+Bull!C32*Bull!C36/(1+$A8)^Bull!C37+Bull!D32*Bull!D36/(1+$A8)^Bull!D37+Bull!E32*Bull!E36/(1+$A8)^Bull!E37+Bull!F32*Bull!F36/(1+$A8)^Bull!F37+Bull!G32*Bull!G36/(1+$A8)^Bull!G37+Bull!H32*Bull!H36/(1+$A8)^Bull!H37+Bull!I32*Bull!I36/(1+$A8)^Bull!I37+Bull!J32*Bull!J36/(1+$A8)^Bull!J37+Bull!K32*Bull!K36/(1+$A8)^Bull!K37+((Bull!$K$20*(1+E$7))*((Bull!$K$10-Bull!$K$11)*(1-Bull!$K$12)+Bull!$K$13-Bull!$K$14)-((Bull!$K$20*(1+E$7))*Bull!$K$15-Bull!$K$30))/($A8-E$7)/(1+$A8)^Bull!$K$37)+Capital!$B$32-Capital!$B$19-Capital!$B$20-(Capital!$B$28))/(Capital!$B$18+Capital!$D$27+Capital!$D$25+Capital!$D$26))&lt;Capital!$C$28,(((Bull!B32*Bull!B36/(1+$A8)^Bull!B37+Bull!C32*Bull!C36/(1+$A8)^Bull!C37+Bull!D32*Bull!D36/(1+$A8)^Bull!D37+Bull!E32*Bull!E36/(1+$A8)^Bull!E37+Bull!F32*Bull!F36/(1+$A8)^Bull!F37+Bull!G32*Bull!G36/(1+$A8)^Bull!G37+Bull!H32*Bull!H36/(1+$A8)^Bull!H37+Bull!I32*Bull!I36/(1+$A8)^Bull!I37+Bull!J32*Bull!J36/(1+$A8)^Bull!J37+Bull!K32*Bull!K36/(1+$A8)^Bull!K37+((Bull!$K$20*(1+E$7))*((Bull!$K$10-Bull!$K$11)*(1-Bull!$K$12)+Bull!$K$13-Bull!$K$14)-((Bull!$K$20*(1+E$7))*Bull!$K$15-Bull!$K$30))/($A8-E$7)/(1+$A8)^Bull!$K$37)+Capital!$B$32-Capital!$B$19-Capital!$B$20-(Capital!$B$28))/(Capital!$B$18+Capital!$D$27+Capital!$D$25+Capital!$D$26)),(((Bull!B32*Bull!B36/(1+$A8)^Bull!B37+Bull!C32*Bull!C36/(1+$A8)^Bull!C37+Bull!D32*Bull!D36/(1+$A8)^Bull!D37+Bull!E32*Bull!E36/(1+$A8)^Bull!E37+Bull!F32*Bull!F36/(1+$A8)^Bull!F37+Bull!G32*Bull!G36/(1+$A8)^Bull!G37+Bull!H32*Bull!H36/(1+$A8)^Bull!H37+Bull!I32*Bull!I36/(1+$A8)^Bull!I37+Bull!J32*Bull!J36/(1+$A8)^Bull!J37+Bull!K32*Bull!K36/(1+$A8)^Bull!K37+((Bull!$K$20*(1+E$7))*((Bull!$K$10-Bull!$K$11)*(1-Bull!$K$12)+Bull!$K$13-Bull!$K$14)-((Bull!$K$20*(1+E$7))*Bull!$K$15-Bull!$K$30))/($A8-E$7)/(1+$A8)^Bull!$K$37)+Capital!$B$32-Capital!$B$19-Capital!$B$20-(0))/(Capital!$B$18+Capital!$D$27+Capital!$D$25+Capital!$D$26+Capital!$D$28)))))))))</f>
        <v>374.0593081790235</v>
      </c>
      <c r="F8" s="3">
        <f>IF((((Bull!B32*Bull!B36/(1+$A8)^Bull!B37+Bull!C32*Bull!C36/(1+$A8)^Bull!C37+Bull!D32*Bull!D36/(1+$A8)^Bull!D37+Bull!E32*Bull!E36/(1+$A8)^Bull!E37+Bull!F32*Bull!F36/(1+$A8)^Bull!F37+Bull!G32*Bull!G36/(1+$A8)^Bull!G37+Bull!H32*Bull!H36/(1+$A8)^Bull!H37+Bull!I32*Bull!I36/(1+$A8)^Bull!I37+Bull!J32*Bull!J36/(1+$A8)^Bull!J37+Bull!K32*Bull!K36/(1+$A8)^Bull!K37+((Bull!$K$20*(1+F$7))*((Bull!$K$10-Bull!$K$11)*(1-Bull!$K$12)+Bull!$K$13-Bull!$K$14)-((Bull!$K$20*(1+F$7))*Bull!$K$15-Bull!$K$30))/($A8-F$7)/(1+$A8)^Bull!$K$37)+Capital!$B$32-Capital!$B$19-Capital!$B$20-(Capital!$B$27+Capital!$B$25+Capital!$B$26+Capital!$B$28))/(Capital!$B$18+0))&lt;Capital!$C$27,(((Bull!B32*Bull!B36/(1+$A8)^Bull!B37+Bull!C32*Bull!C36/(1+$A8)^Bull!C37+Bull!D32*Bull!D36/(1+$A8)^Bull!D37+Bull!E32*Bull!E36/(1+$A8)^Bull!E37+Bull!F32*Bull!F36/(1+$A8)^Bull!F37+Bull!G32*Bull!G36/(1+$A8)^Bull!G37+Bull!H32*Bull!H36/(1+$A8)^Bull!H37+Bull!I32*Bull!I36/(1+$A8)^Bull!I37+Bull!J32*Bull!J36/(1+$A8)^Bull!J37+Bull!K32*Bull!K36/(1+$A8)^Bull!K37+((Bull!$K$20*(1+F$7))*((Bull!$K$10-Bull!$K$11)*(1-Bull!$K$12)+Bull!$K$13-Bull!$K$14)-((Bull!$K$20*(1+F$7))*Bull!$K$15-Bull!$K$30))/($A8-F$7)/(1+$A8)^Bull!$K$37)+Capital!$B$32-Capital!$B$19-Capital!$B$20-(Capital!$B$27+Capital!$B$25+Capital!$B$26+Capital!$B$28))/(Capital!$B$18+0)),(IF((((Bull!B32*Bull!B36/(1+$A8)^Bull!B37+Bull!C32*Bull!C36/(1+$A8)^Bull!C37+Bull!D32*Bull!D36/(1+$A8)^Bull!D37+Bull!E32*Bull!E36/(1+$A8)^Bull!E37+Bull!F32*Bull!F36/(1+$A8)^Bull!F37+Bull!G32*Bull!G36/(1+$A8)^Bull!G37+Bull!H32*Bull!H36/(1+$A8)^Bull!H37+Bull!I32*Bull!I36/(1+$A8)^Bull!I37+Bull!J32*Bull!J36/(1+$A8)^Bull!J37+Bull!K32*Bull!K36/(1+$A8)^Bull!K37+((Bull!$K$20*(1+F$7))*((Bull!$K$10-Bull!$K$11)*(1-Bull!$K$12)+Bull!$K$13-Bull!$K$14)-((Bull!$K$20*(1+F$7))*Bull!$K$15-Bull!$K$30))/($A8-F$7)/(1+$A8)^Bull!$K$37)+Capital!$B$32-Capital!$B$19-Capital!$B$20-(Capital!$B$25+Capital!$B$26+Capital!$B$28))/(Capital!$B$18+Capital!$D$27))&lt;Capital!$C$25,(((Bull!B32*Bull!B36/(1+$A8)^Bull!B37+Bull!C32*Bull!C36/(1+$A8)^Bull!C37+Bull!D32*Bull!D36/(1+$A8)^Bull!D37+Bull!E32*Bull!E36/(1+$A8)^Bull!E37+Bull!F32*Bull!F36/(1+$A8)^Bull!F37+Bull!G32*Bull!G36/(1+$A8)^Bull!G37+Bull!H32*Bull!H36/(1+$A8)^Bull!H37+Bull!I32*Bull!I36/(1+$A8)^Bull!I37+Bull!J32*Bull!J36/(1+$A8)^Bull!J37+Bull!K32*Bull!K36/(1+$A8)^Bull!K37+((Bull!$K$20*(1+F$7))*((Bull!$K$10-Bull!$K$11)*(1-Bull!$K$12)+Bull!$K$13-Bull!$K$14)-((Bull!$K$20*(1+F$7))*Bull!$K$15-Bull!$K$30))/($A8-F$7)/(1+$A8)^Bull!$K$37)+Capital!$B$32-Capital!$B$19-Capital!$B$20-(Capital!$B$25+Capital!$B$26+Capital!$B$28))/(Capital!$B$18+Capital!$D$27)),(IF((((Bull!B32*Bull!B36/(1+$A8)^Bull!B37+Bull!C32*Bull!C36/(1+$A8)^Bull!C37+Bull!D32*Bull!D36/(1+$A8)^Bull!D37+Bull!E32*Bull!E36/(1+$A8)^Bull!E37+Bull!F32*Bull!F36/(1+$A8)^Bull!F37+Bull!G32*Bull!G36/(1+$A8)^Bull!G37+Bull!H32*Bull!H36/(1+$A8)^Bull!H37+Bull!I32*Bull!I36/(1+$A8)^Bull!I37+Bull!J32*Bull!J36/(1+$A8)^Bull!J37+Bull!K32*Bull!K36/(1+$A8)^Bull!K37+((Bull!$K$20*(1+F$7))*((Bull!$K$10-Bull!$K$11)*(1-Bull!$K$12)+Bull!$K$13-Bull!$K$14)-((Bull!$K$20*(1+F$7))*Bull!$K$15-Bull!$K$30))/($A8-F$7)/(1+$A8)^Bull!$K$37)+Capital!$B$32-Capital!$B$19-Capital!$B$20-(Capital!$B$26+Capital!$B$28))/(Capital!$B$18+Capital!$D$27+Capital!$D$25))&lt;Capital!$C$26,(((Bull!B32*Bull!B36/(1+$A8)^Bull!B37+Bull!C32*Bull!C36/(1+$A8)^Bull!C37+Bull!D32*Bull!D36/(1+$A8)^Bull!D37+Bull!E32*Bull!E36/(1+$A8)^Bull!E37+Bull!F32*Bull!F36/(1+$A8)^Bull!F37+Bull!G32*Bull!G36/(1+$A8)^Bull!G37+Bull!H32*Bull!H36/(1+$A8)^Bull!H37+Bull!I32*Bull!I36/(1+$A8)^Bull!I37+Bull!J32*Bull!J36/(1+$A8)^Bull!J37+Bull!K32*Bull!K36/(1+$A8)^Bull!K37+((Bull!$K$20*(1+F$7))*((Bull!$K$10-Bull!$K$11)*(1-Bull!$K$12)+Bull!$K$13-Bull!$K$14)-((Bull!$K$20*(1+F$7))*Bull!$K$15-Bull!$K$30))/($A8-F$7)/(1+$A8)^Bull!$K$37)+Capital!$B$32-Capital!$B$19-Capital!$B$20-(Capital!$B$26+Capital!$B$28))/(Capital!$B$18+Capital!$D$27+Capital!$D$25)),(IF((((Bull!B32*Bull!B36/(1+$A8)^Bull!B37+Bull!C32*Bull!C36/(1+$A8)^Bull!C37+Bull!D32*Bull!D36/(1+$A8)^Bull!D37+Bull!E32*Bull!E36/(1+$A8)^Bull!E37+Bull!F32*Bull!F36/(1+$A8)^Bull!F37+Bull!G32*Bull!G36/(1+$A8)^Bull!G37+Bull!H32*Bull!H36/(1+$A8)^Bull!H37+Bull!I32*Bull!I36/(1+$A8)^Bull!I37+Bull!J32*Bull!J36/(1+$A8)^Bull!J37+Bull!K32*Bull!K36/(1+$A8)^Bull!K37+((Bull!$K$20*(1+F$7))*((Bull!$K$10-Bull!$K$11)*(1-Bull!$K$12)+Bull!$K$13-Bull!$K$14)-((Bull!$K$20*(1+F$7))*Bull!$K$15-Bull!$K$30))/($A8-F$7)/(1+$A8)^Bull!$K$37)+Capital!$B$32-Capital!$B$19-Capital!$B$20-(Capital!$B$28))/(Capital!$B$18+Capital!$D$27+Capital!$D$25+Capital!$D$26))&lt;Capital!$C$28,(((Bull!B32*Bull!B36/(1+$A8)^Bull!B37+Bull!C32*Bull!C36/(1+$A8)^Bull!C37+Bull!D32*Bull!D36/(1+$A8)^Bull!D37+Bull!E32*Bull!E36/(1+$A8)^Bull!E37+Bull!F32*Bull!F36/(1+$A8)^Bull!F37+Bull!G32*Bull!G36/(1+$A8)^Bull!G37+Bull!H32*Bull!H36/(1+$A8)^Bull!H37+Bull!I32*Bull!I36/(1+$A8)^Bull!I37+Bull!J32*Bull!J36/(1+$A8)^Bull!J37+Bull!K32*Bull!K36/(1+$A8)^Bull!K37+((Bull!$K$20*(1+F$7))*((Bull!$K$10-Bull!$K$11)*(1-Bull!$K$12)+Bull!$K$13-Bull!$K$14)-((Bull!$K$20*(1+F$7))*Bull!$K$15-Bull!$K$30))/($A8-F$7)/(1+$A8)^Bull!$K$37)+Capital!$B$32-Capital!$B$19-Capital!$B$20-(Capital!$B$28))/(Capital!$B$18+Capital!$D$27+Capital!$D$25+Capital!$D$26)),(((Bull!B32*Bull!B36/(1+$A8)^Bull!B37+Bull!C32*Bull!C36/(1+$A8)^Bull!C37+Bull!D32*Bull!D36/(1+$A8)^Bull!D37+Bull!E32*Bull!E36/(1+$A8)^Bull!E37+Bull!F32*Bull!F36/(1+$A8)^Bull!F37+Bull!G32*Bull!G36/(1+$A8)^Bull!G37+Bull!H32*Bull!H36/(1+$A8)^Bull!H37+Bull!I32*Bull!I36/(1+$A8)^Bull!I37+Bull!J32*Bull!J36/(1+$A8)^Bull!J37+Bull!K32*Bull!K36/(1+$A8)^Bull!K37+((Bull!$K$20*(1+F$7))*((Bull!$K$10-Bull!$K$11)*(1-Bull!$K$12)+Bull!$K$13-Bull!$K$14)-((Bull!$K$20*(1+F$7))*Bull!$K$15-Bull!$K$30))/($A8-F$7)/(1+$A8)^Bull!$K$37)+Capital!$B$32-Capital!$B$19-Capital!$B$20-(0))/(Capital!$B$18+Capital!$D$27+Capital!$D$25+Capital!$D$26+Capital!$D$28)))))))))</f>
        <v>384.10284096749143</v>
      </c>
    </row>
    <row r="9" spans="1:11" ht="15.5" x14ac:dyDescent="0.35">
      <c r="A9" s="7">
        <v>0.12974180892202949</v>
      </c>
      <c r="B9" s="3">
        <f>IF((((Bull!B32*Bull!B36/(1+$A9)^Bull!B37+Bull!C32*Bull!C36/(1+$A9)^Bull!C37+Bull!D32*Bull!D36/(1+$A9)^Bull!D37+Bull!E32*Bull!E36/(1+$A9)^Bull!E37+Bull!F32*Bull!F36/(1+$A9)^Bull!F37+Bull!G32*Bull!G36/(1+$A9)^Bull!G37+Bull!H32*Bull!H36/(1+$A9)^Bull!H37+Bull!I32*Bull!I36/(1+$A9)^Bull!I37+Bull!J32*Bull!J36/(1+$A9)^Bull!J37+Bull!K32*Bull!K36/(1+$A9)^Bull!K37+((Bull!$K$20*(1+B$7))*((Bull!$K$10-Bull!$K$11)*(1-Bull!$K$12)+Bull!$K$13-Bull!$K$14)-((Bull!$K$20*(1+B$7))*Bull!$K$15-Bull!$K$30))/($A9-B$7)/(1+$A9)^Bull!$K$37)+Capital!$B$32-Capital!$B$19-Capital!$B$20-(Capital!$B$27+Capital!$B$25+Capital!$B$26+Capital!$B$28))/(Capital!$B$18+0))&lt;Capital!$C$27,(((Bull!B32*Bull!B36/(1+$A9)^Bull!B37+Bull!C32*Bull!C36/(1+$A9)^Bull!C37+Bull!D32*Bull!D36/(1+$A9)^Bull!D37+Bull!E32*Bull!E36/(1+$A9)^Bull!E37+Bull!F32*Bull!F36/(1+$A9)^Bull!F37+Bull!G32*Bull!G36/(1+$A9)^Bull!G37+Bull!H32*Bull!H36/(1+$A9)^Bull!H37+Bull!I32*Bull!I36/(1+$A9)^Bull!I37+Bull!J32*Bull!J36/(1+$A9)^Bull!J37+Bull!K32*Bull!K36/(1+$A9)^Bull!K37+((Bull!$K$20*(1+B$7))*((Bull!$K$10-Bull!$K$11)*(1-Bull!$K$12)+Bull!$K$13-Bull!$K$14)-((Bull!$K$20*(1+B$7))*Bull!$K$15-Bull!$K$30))/($A9-B$7)/(1+$A9)^Bull!$K$37)+Capital!$B$32-Capital!$B$19-Capital!$B$20-(Capital!$B$27+Capital!$B$25+Capital!$B$26+Capital!$B$28))/(Capital!$B$18+0)),(IF((((Bull!B32*Bull!B36/(1+$A9)^Bull!B37+Bull!C32*Bull!C36/(1+$A9)^Bull!C37+Bull!D32*Bull!D36/(1+$A9)^Bull!D37+Bull!E32*Bull!E36/(1+$A9)^Bull!E37+Bull!F32*Bull!F36/(1+$A9)^Bull!F37+Bull!G32*Bull!G36/(1+$A9)^Bull!G37+Bull!H32*Bull!H36/(1+$A9)^Bull!H37+Bull!I32*Bull!I36/(1+$A9)^Bull!I37+Bull!J32*Bull!J36/(1+$A9)^Bull!J37+Bull!K32*Bull!K36/(1+$A9)^Bull!K37+((Bull!$K$20*(1+B$7))*((Bull!$K$10-Bull!$K$11)*(1-Bull!$K$12)+Bull!$K$13-Bull!$K$14)-((Bull!$K$20*(1+B$7))*Bull!$K$15-Bull!$K$30))/($A9-B$7)/(1+$A9)^Bull!$K$37)+Capital!$B$32-Capital!$B$19-Capital!$B$20-(Capital!$B$25+Capital!$B$26+Capital!$B$28))/(Capital!$B$18+Capital!$D$27))&lt;Capital!$C$25,(((Bull!B32*Bull!B36/(1+$A9)^Bull!B37+Bull!C32*Bull!C36/(1+$A9)^Bull!C37+Bull!D32*Bull!D36/(1+$A9)^Bull!D37+Bull!E32*Bull!E36/(1+$A9)^Bull!E37+Bull!F32*Bull!F36/(1+$A9)^Bull!F37+Bull!G32*Bull!G36/(1+$A9)^Bull!G37+Bull!H32*Bull!H36/(1+$A9)^Bull!H37+Bull!I32*Bull!I36/(1+$A9)^Bull!I37+Bull!J32*Bull!J36/(1+$A9)^Bull!J37+Bull!K32*Bull!K36/(1+$A9)^Bull!K37+((Bull!$K$20*(1+B$7))*((Bull!$K$10-Bull!$K$11)*(1-Bull!$K$12)+Bull!$K$13-Bull!$K$14)-((Bull!$K$20*(1+B$7))*Bull!$K$15-Bull!$K$30))/($A9-B$7)/(1+$A9)^Bull!$K$37)+Capital!$B$32-Capital!$B$19-Capital!$B$20-(Capital!$B$25+Capital!$B$26+Capital!$B$28))/(Capital!$B$18+Capital!$D$27)),(IF((((Bull!B32*Bull!B36/(1+$A9)^Bull!B37+Bull!C32*Bull!C36/(1+$A9)^Bull!C37+Bull!D32*Bull!D36/(1+$A9)^Bull!D37+Bull!E32*Bull!E36/(1+$A9)^Bull!E37+Bull!F32*Bull!F36/(1+$A9)^Bull!F37+Bull!G32*Bull!G36/(1+$A9)^Bull!G37+Bull!H32*Bull!H36/(1+$A9)^Bull!H37+Bull!I32*Bull!I36/(1+$A9)^Bull!I37+Bull!J32*Bull!J36/(1+$A9)^Bull!J37+Bull!K32*Bull!K36/(1+$A9)^Bull!K37+((Bull!$K$20*(1+B$7))*((Bull!$K$10-Bull!$K$11)*(1-Bull!$K$12)+Bull!$K$13-Bull!$K$14)-((Bull!$K$20*(1+B$7))*Bull!$K$15-Bull!$K$30))/($A9-B$7)/(1+$A9)^Bull!$K$37)+Capital!$B$32-Capital!$B$19-Capital!$B$20-(Capital!$B$26+Capital!$B$28))/(Capital!$B$18+Capital!$D$27+Capital!$D$25))&lt;Capital!$C$26,(((Bull!B32*Bull!B36/(1+$A9)^Bull!B37+Bull!C32*Bull!C36/(1+$A9)^Bull!C37+Bull!D32*Bull!D36/(1+$A9)^Bull!D37+Bull!E32*Bull!E36/(1+$A9)^Bull!E37+Bull!F32*Bull!F36/(1+$A9)^Bull!F37+Bull!G32*Bull!G36/(1+$A9)^Bull!G37+Bull!H32*Bull!H36/(1+$A9)^Bull!H37+Bull!I32*Bull!I36/(1+$A9)^Bull!I37+Bull!J32*Bull!J36/(1+$A9)^Bull!J37+Bull!K32*Bull!K36/(1+$A9)^Bull!K37+((Bull!$K$20*(1+B$7))*((Bull!$K$10-Bull!$K$11)*(1-Bull!$K$12)+Bull!$K$13-Bull!$K$14)-((Bull!$K$20*(1+B$7))*Bull!$K$15-Bull!$K$30))/($A9-B$7)/(1+$A9)^Bull!$K$37)+Capital!$B$32-Capital!$B$19-Capital!$B$20-(Capital!$B$26+Capital!$B$28))/(Capital!$B$18+Capital!$D$27+Capital!$D$25)),(IF((((Bull!B32*Bull!B36/(1+$A9)^Bull!B37+Bull!C32*Bull!C36/(1+$A9)^Bull!C37+Bull!D32*Bull!D36/(1+$A9)^Bull!D37+Bull!E32*Bull!E36/(1+$A9)^Bull!E37+Bull!F32*Bull!F36/(1+$A9)^Bull!F37+Bull!G32*Bull!G36/(1+$A9)^Bull!G37+Bull!H32*Bull!H36/(1+$A9)^Bull!H37+Bull!I32*Bull!I36/(1+$A9)^Bull!I37+Bull!J32*Bull!J36/(1+$A9)^Bull!J37+Bull!K32*Bull!K36/(1+$A9)^Bull!K37+((Bull!$K$20*(1+B$7))*((Bull!$K$10-Bull!$K$11)*(1-Bull!$K$12)+Bull!$K$13-Bull!$K$14)-((Bull!$K$20*(1+B$7))*Bull!$K$15-Bull!$K$30))/($A9-B$7)/(1+$A9)^Bull!$K$37)+Capital!$B$32-Capital!$B$19-Capital!$B$20-(Capital!$B$28))/(Capital!$B$18+Capital!$D$27+Capital!$D$25+Capital!$D$26))&lt;Capital!$C$28,(((Bull!B32*Bull!B36/(1+$A9)^Bull!B37+Bull!C32*Bull!C36/(1+$A9)^Bull!C37+Bull!D32*Bull!D36/(1+$A9)^Bull!D37+Bull!E32*Bull!E36/(1+$A9)^Bull!E37+Bull!F32*Bull!F36/(1+$A9)^Bull!F37+Bull!G32*Bull!G36/(1+$A9)^Bull!G37+Bull!H32*Bull!H36/(1+$A9)^Bull!H37+Bull!I32*Bull!I36/(1+$A9)^Bull!I37+Bull!J32*Bull!J36/(1+$A9)^Bull!J37+Bull!K32*Bull!K36/(1+$A9)^Bull!K37+((Bull!$K$20*(1+B$7))*((Bull!$K$10-Bull!$K$11)*(1-Bull!$K$12)+Bull!$K$13-Bull!$K$14)-((Bull!$K$20*(1+B$7))*Bull!$K$15-Bull!$K$30))/($A9-B$7)/(1+$A9)^Bull!$K$37)+Capital!$B$32-Capital!$B$19-Capital!$B$20-(Capital!$B$28))/(Capital!$B$18+Capital!$D$27+Capital!$D$25+Capital!$D$26)),(((Bull!B32*Bull!B36/(1+$A9)^Bull!B37+Bull!C32*Bull!C36/(1+$A9)^Bull!C37+Bull!D32*Bull!D36/(1+$A9)^Bull!D37+Bull!E32*Bull!E36/(1+$A9)^Bull!E37+Bull!F32*Bull!F36/(1+$A9)^Bull!F37+Bull!G32*Bull!G36/(1+$A9)^Bull!G37+Bull!H32*Bull!H36/(1+$A9)^Bull!H37+Bull!I32*Bull!I36/(1+$A9)^Bull!I37+Bull!J32*Bull!J36/(1+$A9)^Bull!J37+Bull!K32*Bull!K36/(1+$A9)^Bull!K37+((Bull!$K$20*(1+B$7))*((Bull!$K$10-Bull!$K$11)*(1-Bull!$K$12)+Bull!$K$13-Bull!$K$14)-((Bull!$K$20*(1+B$7))*Bull!$K$15-Bull!$K$30))/($A9-B$7)/(1+$A9)^Bull!$K$37)+Capital!$B$32-Capital!$B$19-Capital!$B$20-(0))/(Capital!$B$18+Capital!$D$27+Capital!$D$25+Capital!$D$26+Capital!$D$28)))))))))</f>
        <v>318.16026341298129</v>
      </c>
      <c r="C9" s="3">
        <f>IF((((Bull!B32*Bull!B36/(1+$A9)^Bull!B37+Bull!C32*Bull!C36/(1+$A9)^Bull!C37+Bull!D32*Bull!D36/(1+$A9)^Bull!D37+Bull!E32*Bull!E36/(1+$A9)^Bull!E37+Bull!F32*Bull!F36/(1+$A9)^Bull!F37+Bull!G32*Bull!G36/(1+$A9)^Bull!G37+Bull!H32*Bull!H36/(1+$A9)^Bull!H37+Bull!I32*Bull!I36/(1+$A9)^Bull!I37+Bull!J32*Bull!J36/(1+$A9)^Bull!J37+Bull!K32*Bull!K36/(1+$A9)^Bull!K37+((Bull!$K$20*(1+C$7))*((Bull!$K$10-Bull!$K$11)*(1-Bull!$K$12)+Bull!$K$13-Bull!$K$14)-((Bull!$K$20*(1+C$7))*Bull!$K$15-Bull!$K$30))/($A9-C$7)/(1+$A9)^Bull!$K$37)+Capital!$B$32-Capital!$B$19-Capital!$B$20-(Capital!$B$27+Capital!$B$25+Capital!$B$26+Capital!$B$28))/(Capital!$B$18+0))&lt;Capital!$C$27,(((Bull!B32*Bull!B36/(1+$A9)^Bull!B37+Bull!C32*Bull!C36/(1+$A9)^Bull!C37+Bull!D32*Bull!D36/(1+$A9)^Bull!D37+Bull!E32*Bull!E36/(1+$A9)^Bull!E37+Bull!F32*Bull!F36/(1+$A9)^Bull!F37+Bull!G32*Bull!G36/(1+$A9)^Bull!G37+Bull!H32*Bull!H36/(1+$A9)^Bull!H37+Bull!I32*Bull!I36/(1+$A9)^Bull!I37+Bull!J32*Bull!J36/(1+$A9)^Bull!J37+Bull!K32*Bull!K36/(1+$A9)^Bull!K37+((Bull!$K$20*(1+C$7))*((Bull!$K$10-Bull!$K$11)*(1-Bull!$K$12)+Bull!$K$13-Bull!$K$14)-((Bull!$K$20*(1+C$7))*Bull!$K$15-Bull!$K$30))/($A9-C$7)/(1+$A9)^Bull!$K$37)+Capital!$B$32-Capital!$B$19-Capital!$B$20-(Capital!$B$27+Capital!$B$25+Capital!$B$26+Capital!$B$28))/(Capital!$B$18+0)),(IF((((Bull!B32*Bull!B36/(1+$A9)^Bull!B37+Bull!C32*Bull!C36/(1+$A9)^Bull!C37+Bull!D32*Bull!D36/(1+$A9)^Bull!D37+Bull!E32*Bull!E36/(1+$A9)^Bull!E37+Bull!F32*Bull!F36/(1+$A9)^Bull!F37+Bull!G32*Bull!G36/(1+$A9)^Bull!G37+Bull!H32*Bull!H36/(1+$A9)^Bull!H37+Bull!I32*Bull!I36/(1+$A9)^Bull!I37+Bull!J32*Bull!J36/(1+$A9)^Bull!J37+Bull!K32*Bull!K36/(1+$A9)^Bull!K37+((Bull!$K$20*(1+C$7))*((Bull!$K$10-Bull!$K$11)*(1-Bull!$K$12)+Bull!$K$13-Bull!$K$14)-((Bull!$K$20*(1+C$7))*Bull!$K$15-Bull!$K$30))/($A9-C$7)/(1+$A9)^Bull!$K$37)+Capital!$B$32-Capital!$B$19-Capital!$B$20-(Capital!$B$25+Capital!$B$26+Capital!$B$28))/(Capital!$B$18+Capital!$D$27))&lt;Capital!$C$25,(((Bull!B32*Bull!B36/(1+$A9)^Bull!B37+Bull!C32*Bull!C36/(1+$A9)^Bull!C37+Bull!D32*Bull!D36/(1+$A9)^Bull!D37+Bull!E32*Bull!E36/(1+$A9)^Bull!E37+Bull!F32*Bull!F36/(1+$A9)^Bull!F37+Bull!G32*Bull!G36/(1+$A9)^Bull!G37+Bull!H32*Bull!H36/(1+$A9)^Bull!H37+Bull!I32*Bull!I36/(1+$A9)^Bull!I37+Bull!J32*Bull!J36/(1+$A9)^Bull!J37+Bull!K32*Bull!K36/(1+$A9)^Bull!K37+((Bull!$K$20*(1+C$7))*((Bull!$K$10-Bull!$K$11)*(1-Bull!$K$12)+Bull!$K$13-Bull!$K$14)-((Bull!$K$20*(1+C$7))*Bull!$K$15-Bull!$K$30))/($A9-C$7)/(1+$A9)^Bull!$K$37)+Capital!$B$32-Capital!$B$19-Capital!$B$20-(Capital!$B$25+Capital!$B$26+Capital!$B$28))/(Capital!$B$18+Capital!$D$27)),(IF((((Bull!B32*Bull!B36/(1+$A9)^Bull!B37+Bull!C32*Bull!C36/(1+$A9)^Bull!C37+Bull!D32*Bull!D36/(1+$A9)^Bull!D37+Bull!E32*Bull!E36/(1+$A9)^Bull!E37+Bull!F32*Bull!F36/(1+$A9)^Bull!F37+Bull!G32*Bull!G36/(1+$A9)^Bull!G37+Bull!H32*Bull!H36/(1+$A9)^Bull!H37+Bull!I32*Bull!I36/(1+$A9)^Bull!I37+Bull!J32*Bull!J36/(1+$A9)^Bull!J37+Bull!K32*Bull!K36/(1+$A9)^Bull!K37+((Bull!$K$20*(1+C$7))*((Bull!$K$10-Bull!$K$11)*(1-Bull!$K$12)+Bull!$K$13-Bull!$K$14)-((Bull!$K$20*(1+C$7))*Bull!$K$15-Bull!$K$30))/($A9-C$7)/(1+$A9)^Bull!$K$37)+Capital!$B$32-Capital!$B$19-Capital!$B$20-(Capital!$B$26+Capital!$B$28))/(Capital!$B$18+Capital!$D$27+Capital!$D$25))&lt;Capital!$C$26,(((Bull!B32*Bull!B36/(1+$A9)^Bull!B37+Bull!C32*Bull!C36/(1+$A9)^Bull!C37+Bull!D32*Bull!D36/(1+$A9)^Bull!D37+Bull!E32*Bull!E36/(1+$A9)^Bull!E37+Bull!F32*Bull!F36/(1+$A9)^Bull!F37+Bull!G32*Bull!G36/(1+$A9)^Bull!G37+Bull!H32*Bull!H36/(1+$A9)^Bull!H37+Bull!I32*Bull!I36/(1+$A9)^Bull!I37+Bull!J32*Bull!J36/(1+$A9)^Bull!J37+Bull!K32*Bull!K36/(1+$A9)^Bull!K37+((Bull!$K$20*(1+C$7))*((Bull!$K$10-Bull!$K$11)*(1-Bull!$K$12)+Bull!$K$13-Bull!$K$14)-((Bull!$K$20*(1+C$7))*Bull!$K$15-Bull!$K$30))/($A9-C$7)/(1+$A9)^Bull!$K$37)+Capital!$B$32-Capital!$B$19-Capital!$B$20-(Capital!$B$26+Capital!$B$28))/(Capital!$B$18+Capital!$D$27+Capital!$D$25)),(IF((((Bull!B32*Bull!B36/(1+$A9)^Bull!B37+Bull!C32*Bull!C36/(1+$A9)^Bull!C37+Bull!D32*Bull!D36/(1+$A9)^Bull!D37+Bull!E32*Bull!E36/(1+$A9)^Bull!E37+Bull!F32*Bull!F36/(1+$A9)^Bull!F37+Bull!G32*Bull!G36/(1+$A9)^Bull!G37+Bull!H32*Bull!H36/(1+$A9)^Bull!H37+Bull!I32*Bull!I36/(1+$A9)^Bull!I37+Bull!J32*Bull!J36/(1+$A9)^Bull!J37+Bull!K32*Bull!K36/(1+$A9)^Bull!K37+((Bull!$K$20*(1+C$7))*((Bull!$K$10-Bull!$K$11)*(1-Bull!$K$12)+Bull!$K$13-Bull!$K$14)-((Bull!$K$20*(1+C$7))*Bull!$K$15-Bull!$K$30))/($A9-C$7)/(1+$A9)^Bull!$K$37)+Capital!$B$32-Capital!$B$19-Capital!$B$20-(Capital!$B$28))/(Capital!$B$18+Capital!$D$27+Capital!$D$25+Capital!$D$26))&lt;Capital!$C$28,(((Bull!B32*Bull!B36/(1+$A9)^Bull!B37+Bull!C32*Bull!C36/(1+$A9)^Bull!C37+Bull!D32*Bull!D36/(1+$A9)^Bull!D37+Bull!E32*Bull!E36/(1+$A9)^Bull!E37+Bull!F32*Bull!F36/(1+$A9)^Bull!F37+Bull!G32*Bull!G36/(1+$A9)^Bull!G37+Bull!H32*Bull!H36/(1+$A9)^Bull!H37+Bull!I32*Bull!I36/(1+$A9)^Bull!I37+Bull!J32*Bull!J36/(1+$A9)^Bull!J37+Bull!K32*Bull!K36/(1+$A9)^Bull!K37+((Bull!$K$20*(1+C$7))*((Bull!$K$10-Bull!$K$11)*(1-Bull!$K$12)+Bull!$K$13-Bull!$K$14)-((Bull!$K$20*(1+C$7))*Bull!$K$15-Bull!$K$30))/($A9-C$7)/(1+$A9)^Bull!$K$37)+Capital!$B$32-Capital!$B$19-Capital!$B$20-(Capital!$B$28))/(Capital!$B$18+Capital!$D$27+Capital!$D$25+Capital!$D$26)),(((Bull!B32*Bull!B36/(1+$A9)^Bull!B37+Bull!C32*Bull!C36/(1+$A9)^Bull!C37+Bull!D32*Bull!D36/(1+$A9)^Bull!D37+Bull!E32*Bull!E36/(1+$A9)^Bull!E37+Bull!F32*Bull!F36/(1+$A9)^Bull!F37+Bull!G32*Bull!G36/(1+$A9)^Bull!G37+Bull!H32*Bull!H36/(1+$A9)^Bull!H37+Bull!I32*Bull!I36/(1+$A9)^Bull!I37+Bull!J32*Bull!J36/(1+$A9)^Bull!J37+Bull!K32*Bull!K36/(1+$A9)^Bull!K37+((Bull!$K$20*(1+C$7))*((Bull!$K$10-Bull!$K$11)*(1-Bull!$K$12)+Bull!$K$13-Bull!$K$14)-((Bull!$K$20*(1+C$7))*Bull!$K$15-Bull!$K$30))/($A9-C$7)/(1+$A9)^Bull!$K$37)+Capital!$B$32-Capital!$B$19-Capital!$B$20-(0))/(Capital!$B$18+Capital!$D$27+Capital!$D$25+Capital!$D$26+Capital!$D$28)))))))))</f>
        <v>323.56619425102002</v>
      </c>
      <c r="D9" s="3">
        <f>IF((((Bull!B32*Bull!B36/(1+$A9)^Bull!B37+Bull!C32*Bull!C36/(1+$A9)^Bull!C37+Bull!D32*Bull!D36/(1+$A9)^Bull!D37+Bull!E32*Bull!E36/(1+$A9)^Bull!E37+Bull!F32*Bull!F36/(1+$A9)^Bull!F37+Bull!G32*Bull!G36/(1+$A9)^Bull!G37+Bull!H32*Bull!H36/(1+$A9)^Bull!H37+Bull!I32*Bull!I36/(1+$A9)^Bull!I37+Bull!J32*Bull!J36/(1+$A9)^Bull!J37+Bull!K32*Bull!K36/(1+$A9)^Bull!K37+((Bull!$K$20*(1+D$7))*((Bull!$K$10-Bull!$K$11)*(1-Bull!$K$12)+Bull!$K$13-Bull!$K$14)-((Bull!$K$20*(1+D$7))*Bull!$K$15-Bull!$K$30))/($A9-D$7)/(1+$A9)^Bull!$K$37)+Capital!$B$32-Capital!$B$19-Capital!$B$20-(Capital!$B$27+Capital!$B$25+Capital!$B$26+Capital!$B$28))/(Capital!$B$18+0))&lt;Capital!$C$27,(((Bull!B32*Bull!B36/(1+$A9)^Bull!B37+Bull!C32*Bull!C36/(1+$A9)^Bull!C37+Bull!D32*Bull!D36/(1+$A9)^Bull!D37+Bull!E32*Bull!E36/(1+$A9)^Bull!E37+Bull!F32*Bull!F36/(1+$A9)^Bull!F37+Bull!G32*Bull!G36/(1+$A9)^Bull!G37+Bull!H32*Bull!H36/(1+$A9)^Bull!H37+Bull!I32*Bull!I36/(1+$A9)^Bull!I37+Bull!J32*Bull!J36/(1+$A9)^Bull!J37+Bull!K32*Bull!K36/(1+$A9)^Bull!K37+((Bull!$K$20*(1+D$7))*((Bull!$K$10-Bull!$K$11)*(1-Bull!$K$12)+Bull!$K$13-Bull!$K$14)-((Bull!$K$20*(1+D$7))*Bull!$K$15-Bull!$K$30))/($A9-D$7)/(1+$A9)^Bull!$K$37)+Capital!$B$32-Capital!$B$19-Capital!$B$20-(Capital!$B$27+Capital!$B$25+Capital!$B$26+Capital!$B$28))/(Capital!$B$18+0)),(IF((((Bull!B32*Bull!B36/(1+$A9)^Bull!B37+Bull!C32*Bull!C36/(1+$A9)^Bull!C37+Bull!D32*Bull!D36/(1+$A9)^Bull!D37+Bull!E32*Bull!E36/(1+$A9)^Bull!E37+Bull!F32*Bull!F36/(1+$A9)^Bull!F37+Bull!G32*Bull!G36/(1+$A9)^Bull!G37+Bull!H32*Bull!H36/(1+$A9)^Bull!H37+Bull!I32*Bull!I36/(1+$A9)^Bull!I37+Bull!J32*Bull!J36/(1+$A9)^Bull!J37+Bull!K32*Bull!K36/(1+$A9)^Bull!K37+((Bull!$K$20*(1+D$7))*((Bull!$K$10-Bull!$K$11)*(1-Bull!$K$12)+Bull!$K$13-Bull!$K$14)-((Bull!$K$20*(1+D$7))*Bull!$K$15-Bull!$K$30))/($A9-D$7)/(1+$A9)^Bull!$K$37)+Capital!$B$32-Capital!$B$19-Capital!$B$20-(Capital!$B$25+Capital!$B$26+Capital!$B$28))/(Capital!$B$18+Capital!$D$27))&lt;Capital!$C$25,(((Bull!B32*Bull!B36/(1+$A9)^Bull!B37+Bull!C32*Bull!C36/(1+$A9)^Bull!C37+Bull!D32*Bull!D36/(1+$A9)^Bull!D37+Bull!E32*Bull!E36/(1+$A9)^Bull!E37+Bull!F32*Bull!F36/(1+$A9)^Bull!F37+Bull!G32*Bull!G36/(1+$A9)^Bull!G37+Bull!H32*Bull!H36/(1+$A9)^Bull!H37+Bull!I32*Bull!I36/(1+$A9)^Bull!I37+Bull!J32*Bull!J36/(1+$A9)^Bull!J37+Bull!K32*Bull!K36/(1+$A9)^Bull!K37+((Bull!$K$20*(1+D$7))*((Bull!$K$10-Bull!$K$11)*(1-Bull!$K$12)+Bull!$K$13-Bull!$K$14)-((Bull!$K$20*(1+D$7))*Bull!$K$15-Bull!$K$30))/($A9-D$7)/(1+$A9)^Bull!$K$37)+Capital!$B$32-Capital!$B$19-Capital!$B$20-(Capital!$B$25+Capital!$B$26+Capital!$B$28))/(Capital!$B$18+Capital!$D$27)),(IF((((Bull!B32*Bull!B36/(1+$A9)^Bull!B37+Bull!C32*Bull!C36/(1+$A9)^Bull!C37+Bull!D32*Bull!D36/(1+$A9)^Bull!D37+Bull!E32*Bull!E36/(1+$A9)^Bull!E37+Bull!F32*Bull!F36/(1+$A9)^Bull!F37+Bull!G32*Bull!G36/(1+$A9)^Bull!G37+Bull!H32*Bull!H36/(1+$A9)^Bull!H37+Bull!I32*Bull!I36/(1+$A9)^Bull!I37+Bull!J32*Bull!J36/(1+$A9)^Bull!J37+Bull!K32*Bull!K36/(1+$A9)^Bull!K37+((Bull!$K$20*(1+D$7))*((Bull!$K$10-Bull!$K$11)*(1-Bull!$K$12)+Bull!$K$13-Bull!$K$14)-((Bull!$K$20*(1+D$7))*Bull!$K$15-Bull!$K$30))/($A9-D$7)/(1+$A9)^Bull!$K$37)+Capital!$B$32-Capital!$B$19-Capital!$B$20-(Capital!$B$26+Capital!$B$28))/(Capital!$B$18+Capital!$D$27+Capital!$D$25))&lt;Capital!$C$26,(((Bull!B32*Bull!B36/(1+$A9)^Bull!B37+Bull!C32*Bull!C36/(1+$A9)^Bull!C37+Bull!D32*Bull!D36/(1+$A9)^Bull!D37+Bull!E32*Bull!E36/(1+$A9)^Bull!E37+Bull!F32*Bull!F36/(1+$A9)^Bull!F37+Bull!G32*Bull!G36/(1+$A9)^Bull!G37+Bull!H32*Bull!H36/(1+$A9)^Bull!H37+Bull!I32*Bull!I36/(1+$A9)^Bull!I37+Bull!J32*Bull!J36/(1+$A9)^Bull!J37+Bull!K32*Bull!K36/(1+$A9)^Bull!K37+((Bull!$K$20*(1+D$7))*((Bull!$K$10-Bull!$K$11)*(1-Bull!$K$12)+Bull!$K$13-Bull!$K$14)-((Bull!$K$20*(1+D$7))*Bull!$K$15-Bull!$K$30))/($A9-D$7)/(1+$A9)^Bull!$K$37)+Capital!$B$32-Capital!$B$19-Capital!$B$20-(Capital!$B$26+Capital!$B$28))/(Capital!$B$18+Capital!$D$27+Capital!$D$25)),(IF((((Bull!B32*Bull!B36/(1+$A9)^Bull!B37+Bull!C32*Bull!C36/(1+$A9)^Bull!C37+Bull!D32*Bull!D36/(1+$A9)^Bull!D37+Bull!E32*Bull!E36/(1+$A9)^Bull!E37+Bull!F32*Bull!F36/(1+$A9)^Bull!F37+Bull!G32*Bull!G36/(1+$A9)^Bull!G37+Bull!H32*Bull!H36/(1+$A9)^Bull!H37+Bull!I32*Bull!I36/(1+$A9)^Bull!I37+Bull!J32*Bull!J36/(1+$A9)^Bull!J37+Bull!K32*Bull!K36/(1+$A9)^Bull!K37+((Bull!$K$20*(1+D$7))*((Bull!$K$10-Bull!$K$11)*(1-Bull!$K$12)+Bull!$K$13-Bull!$K$14)-((Bull!$K$20*(1+D$7))*Bull!$K$15-Bull!$K$30))/($A9-D$7)/(1+$A9)^Bull!$K$37)+Capital!$B$32-Capital!$B$19-Capital!$B$20-(Capital!$B$28))/(Capital!$B$18+Capital!$D$27+Capital!$D$25+Capital!$D$26))&lt;Capital!$C$28,(((Bull!B32*Bull!B36/(1+$A9)^Bull!B37+Bull!C32*Bull!C36/(1+$A9)^Bull!C37+Bull!D32*Bull!D36/(1+$A9)^Bull!D37+Bull!E32*Bull!E36/(1+$A9)^Bull!E37+Bull!F32*Bull!F36/(1+$A9)^Bull!F37+Bull!G32*Bull!G36/(1+$A9)^Bull!G37+Bull!H32*Bull!H36/(1+$A9)^Bull!H37+Bull!I32*Bull!I36/(1+$A9)^Bull!I37+Bull!J32*Bull!J36/(1+$A9)^Bull!J37+Bull!K32*Bull!K36/(1+$A9)^Bull!K37+((Bull!$K$20*(1+D$7))*((Bull!$K$10-Bull!$K$11)*(1-Bull!$K$12)+Bull!$K$13-Bull!$K$14)-((Bull!$K$20*(1+D$7))*Bull!$K$15-Bull!$K$30))/($A9-D$7)/(1+$A9)^Bull!$K$37)+Capital!$B$32-Capital!$B$19-Capital!$B$20-(Capital!$B$28))/(Capital!$B$18+Capital!$D$27+Capital!$D$25+Capital!$D$26)),(((Bull!B32*Bull!B36/(1+$A9)^Bull!B37+Bull!C32*Bull!C36/(1+$A9)^Bull!C37+Bull!D32*Bull!D36/(1+$A9)^Bull!D37+Bull!E32*Bull!E36/(1+$A9)^Bull!E37+Bull!F32*Bull!F36/(1+$A9)^Bull!F37+Bull!G32*Bull!G36/(1+$A9)^Bull!G37+Bull!H32*Bull!H36/(1+$A9)^Bull!H37+Bull!I32*Bull!I36/(1+$A9)^Bull!I37+Bull!J32*Bull!J36/(1+$A9)^Bull!J37+Bull!K32*Bull!K36/(1+$A9)^Bull!K37+((Bull!$K$20*(1+D$7))*((Bull!$K$10-Bull!$K$11)*(1-Bull!$K$12)+Bull!$K$13-Bull!$K$14)-((Bull!$K$20*(1+D$7))*Bull!$K$15-Bull!$K$30))/($A9-D$7)/(1+$A9)^Bull!$K$37)+Capital!$B$32-Capital!$B$19-Capital!$B$20-(0))/(Capital!$B$18+Capital!$D$27+Capital!$D$25+Capital!$D$26+Capital!$D$28)))))))))</f>
        <v>329.51411754903756</v>
      </c>
      <c r="E9" s="3">
        <f>IF((((Bull!B32*Bull!B36/(1+$A9)^Bull!B37+Bull!C32*Bull!C36/(1+$A9)^Bull!C37+Bull!D32*Bull!D36/(1+$A9)^Bull!D37+Bull!E32*Bull!E36/(1+$A9)^Bull!E37+Bull!F32*Bull!F36/(1+$A9)^Bull!F37+Bull!G32*Bull!G36/(1+$A9)^Bull!G37+Bull!H32*Bull!H36/(1+$A9)^Bull!H37+Bull!I32*Bull!I36/(1+$A9)^Bull!I37+Bull!J32*Bull!J36/(1+$A9)^Bull!J37+Bull!K32*Bull!K36/(1+$A9)^Bull!K37+((Bull!$K$20*(1+E$7))*((Bull!$K$10-Bull!$K$11)*(1-Bull!$K$12)+Bull!$K$13-Bull!$K$14)-((Bull!$K$20*(1+E$7))*Bull!$K$15-Bull!$K$30))/($A9-E$7)/(1+$A9)^Bull!$K$37)+Capital!$B$32-Capital!$B$19-Capital!$B$20-(Capital!$B$27+Capital!$B$25+Capital!$B$26+Capital!$B$28))/(Capital!$B$18+0))&lt;Capital!$C$27,(((Bull!B32*Bull!B36/(1+$A9)^Bull!B37+Bull!C32*Bull!C36/(1+$A9)^Bull!C37+Bull!D32*Bull!D36/(1+$A9)^Bull!D37+Bull!E32*Bull!E36/(1+$A9)^Bull!E37+Bull!F32*Bull!F36/(1+$A9)^Bull!F37+Bull!G32*Bull!G36/(1+$A9)^Bull!G37+Bull!H32*Bull!H36/(1+$A9)^Bull!H37+Bull!I32*Bull!I36/(1+$A9)^Bull!I37+Bull!J32*Bull!J36/(1+$A9)^Bull!J37+Bull!K32*Bull!K36/(1+$A9)^Bull!K37+((Bull!$K$20*(1+E$7))*((Bull!$K$10-Bull!$K$11)*(1-Bull!$K$12)+Bull!$K$13-Bull!$K$14)-((Bull!$K$20*(1+E$7))*Bull!$K$15-Bull!$K$30))/($A9-E$7)/(1+$A9)^Bull!$K$37)+Capital!$B$32-Capital!$B$19-Capital!$B$20-(Capital!$B$27+Capital!$B$25+Capital!$B$26+Capital!$B$28))/(Capital!$B$18+0)),(IF((((Bull!B32*Bull!B36/(1+$A9)^Bull!B37+Bull!C32*Bull!C36/(1+$A9)^Bull!C37+Bull!D32*Bull!D36/(1+$A9)^Bull!D37+Bull!E32*Bull!E36/(1+$A9)^Bull!E37+Bull!F32*Bull!F36/(1+$A9)^Bull!F37+Bull!G32*Bull!G36/(1+$A9)^Bull!G37+Bull!H32*Bull!H36/(1+$A9)^Bull!H37+Bull!I32*Bull!I36/(1+$A9)^Bull!I37+Bull!J32*Bull!J36/(1+$A9)^Bull!J37+Bull!K32*Bull!K36/(1+$A9)^Bull!K37+((Bull!$K$20*(1+E$7))*((Bull!$K$10-Bull!$K$11)*(1-Bull!$K$12)+Bull!$K$13-Bull!$K$14)-((Bull!$K$20*(1+E$7))*Bull!$K$15-Bull!$K$30))/($A9-E$7)/(1+$A9)^Bull!$K$37)+Capital!$B$32-Capital!$B$19-Capital!$B$20-(Capital!$B$25+Capital!$B$26+Capital!$B$28))/(Capital!$B$18+Capital!$D$27))&lt;Capital!$C$25,(((Bull!B32*Bull!B36/(1+$A9)^Bull!B37+Bull!C32*Bull!C36/(1+$A9)^Bull!C37+Bull!D32*Bull!D36/(1+$A9)^Bull!D37+Bull!E32*Bull!E36/(1+$A9)^Bull!E37+Bull!F32*Bull!F36/(1+$A9)^Bull!F37+Bull!G32*Bull!G36/(1+$A9)^Bull!G37+Bull!H32*Bull!H36/(1+$A9)^Bull!H37+Bull!I32*Bull!I36/(1+$A9)^Bull!I37+Bull!J32*Bull!J36/(1+$A9)^Bull!J37+Bull!K32*Bull!K36/(1+$A9)^Bull!K37+((Bull!$K$20*(1+E$7))*((Bull!$K$10-Bull!$K$11)*(1-Bull!$K$12)+Bull!$K$13-Bull!$K$14)-((Bull!$K$20*(1+E$7))*Bull!$K$15-Bull!$K$30))/($A9-E$7)/(1+$A9)^Bull!$K$37)+Capital!$B$32-Capital!$B$19-Capital!$B$20-(Capital!$B$25+Capital!$B$26+Capital!$B$28))/(Capital!$B$18+Capital!$D$27)),(IF((((Bull!B32*Bull!B36/(1+$A9)^Bull!B37+Bull!C32*Bull!C36/(1+$A9)^Bull!C37+Bull!D32*Bull!D36/(1+$A9)^Bull!D37+Bull!E32*Bull!E36/(1+$A9)^Bull!E37+Bull!F32*Bull!F36/(1+$A9)^Bull!F37+Bull!G32*Bull!G36/(1+$A9)^Bull!G37+Bull!H32*Bull!H36/(1+$A9)^Bull!H37+Bull!I32*Bull!I36/(1+$A9)^Bull!I37+Bull!J32*Bull!J36/(1+$A9)^Bull!J37+Bull!K32*Bull!K36/(1+$A9)^Bull!K37+((Bull!$K$20*(1+E$7))*((Bull!$K$10-Bull!$K$11)*(1-Bull!$K$12)+Bull!$K$13-Bull!$K$14)-((Bull!$K$20*(1+E$7))*Bull!$K$15-Bull!$K$30))/($A9-E$7)/(1+$A9)^Bull!$K$37)+Capital!$B$32-Capital!$B$19-Capital!$B$20-(Capital!$B$26+Capital!$B$28))/(Capital!$B$18+Capital!$D$27+Capital!$D$25))&lt;Capital!$C$26,(((Bull!B32*Bull!B36/(1+$A9)^Bull!B37+Bull!C32*Bull!C36/(1+$A9)^Bull!C37+Bull!D32*Bull!D36/(1+$A9)^Bull!D37+Bull!E32*Bull!E36/(1+$A9)^Bull!E37+Bull!F32*Bull!F36/(1+$A9)^Bull!F37+Bull!G32*Bull!G36/(1+$A9)^Bull!G37+Bull!H32*Bull!H36/(1+$A9)^Bull!H37+Bull!I32*Bull!I36/(1+$A9)^Bull!I37+Bull!J32*Bull!J36/(1+$A9)^Bull!J37+Bull!K32*Bull!K36/(1+$A9)^Bull!K37+((Bull!$K$20*(1+E$7))*((Bull!$K$10-Bull!$K$11)*(1-Bull!$K$12)+Bull!$K$13-Bull!$K$14)-((Bull!$K$20*(1+E$7))*Bull!$K$15-Bull!$K$30))/($A9-E$7)/(1+$A9)^Bull!$K$37)+Capital!$B$32-Capital!$B$19-Capital!$B$20-(Capital!$B$26+Capital!$B$28))/(Capital!$B$18+Capital!$D$27+Capital!$D$25)),(IF((((Bull!B32*Bull!B36/(1+$A9)^Bull!B37+Bull!C32*Bull!C36/(1+$A9)^Bull!C37+Bull!D32*Bull!D36/(1+$A9)^Bull!D37+Bull!E32*Bull!E36/(1+$A9)^Bull!E37+Bull!F32*Bull!F36/(1+$A9)^Bull!F37+Bull!G32*Bull!G36/(1+$A9)^Bull!G37+Bull!H32*Bull!H36/(1+$A9)^Bull!H37+Bull!I32*Bull!I36/(1+$A9)^Bull!I37+Bull!J32*Bull!J36/(1+$A9)^Bull!J37+Bull!K32*Bull!K36/(1+$A9)^Bull!K37+((Bull!$K$20*(1+E$7))*((Bull!$K$10-Bull!$K$11)*(1-Bull!$K$12)+Bull!$K$13-Bull!$K$14)-((Bull!$K$20*(1+E$7))*Bull!$K$15-Bull!$K$30))/($A9-E$7)/(1+$A9)^Bull!$K$37)+Capital!$B$32-Capital!$B$19-Capital!$B$20-(Capital!$B$28))/(Capital!$B$18+Capital!$D$27+Capital!$D$25+Capital!$D$26))&lt;Capital!$C$28,(((Bull!B32*Bull!B36/(1+$A9)^Bull!B37+Bull!C32*Bull!C36/(1+$A9)^Bull!C37+Bull!D32*Bull!D36/(1+$A9)^Bull!D37+Bull!E32*Bull!E36/(1+$A9)^Bull!E37+Bull!F32*Bull!F36/(1+$A9)^Bull!F37+Bull!G32*Bull!G36/(1+$A9)^Bull!G37+Bull!H32*Bull!H36/(1+$A9)^Bull!H37+Bull!I32*Bull!I36/(1+$A9)^Bull!I37+Bull!J32*Bull!J36/(1+$A9)^Bull!J37+Bull!K32*Bull!K36/(1+$A9)^Bull!K37+((Bull!$K$20*(1+E$7))*((Bull!$K$10-Bull!$K$11)*(1-Bull!$K$12)+Bull!$K$13-Bull!$K$14)-((Bull!$K$20*(1+E$7))*Bull!$K$15-Bull!$K$30))/($A9-E$7)/(1+$A9)^Bull!$K$37)+Capital!$B$32-Capital!$B$19-Capital!$B$20-(Capital!$B$28))/(Capital!$B$18+Capital!$D$27+Capital!$D$25+Capital!$D$26)),(((Bull!B32*Bull!B36/(1+$A9)^Bull!B37+Bull!C32*Bull!C36/(1+$A9)^Bull!C37+Bull!D32*Bull!D36/(1+$A9)^Bull!D37+Bull!E32*Bull!E36/(1+$A9)^Bull!E37+Bull!F32*Bull!F36/(1+$A9)^Bull!F37+Bull!G32*Bull!G36/(1+$A9)^Bull!G37+Bull!H32*Bull!H36/(1+$A9)^Bull!H37+Bull!I32*Bull!I36/(1+$A9)^Bull!I37+Bull!J32*Bull!J36/(1+$A9)^Bull!J37+Bull!K32*Bull!K36/(1+$A9)^Bull!K37+((Bull!$K$20*(1+E$7))*((Bull!$K$10-Bull!$K$11)*(1-Bull!$K$12)+Bull!$K$13-Bull!$K$14)-((Bull!$K$20*(1+E$7))*Bull!$K$15-Bull!$K$30))/($A9-E$7)/(1+$A9)^Bull!$K$37)+Capital!$B$32-Capital!$B$19-Capital!$B$20-(0))/(Capital!$B$18+Capital!$D$27+Capital!$D$25+Capital!$D$26+Capital!$D$28)))))))))</f>
        <v>336.08984428100825</v>
      </c>
      <c r="F9" s="3">
        <f>IF((((Bull!B32*Bull!B36/(1+$A9)^Bull!B37+Bull!C32*Bull!C36/(1+$A9)^Bull!C37+Bull!D32*Bull!D36/(1+$A9)^Bull!D37+Bull!E32*Bull!E36/(1+$A9)^Bull!E37+Bull!F32*Bull!F36/(1+$A9)^Bull!F37+Bull!G32*Bull!G36/(1+$A9)^Bull!G37+Bull!H32*Bull!H36/(1+$A9)^Bull!H37+Bull!I32*Bull!I36/(1+$A9)^Bull!I37+Bull!J32*Bull!J36/(1+$A9)^Bull!J37+Bull!K32*Bull!K36/(1+$A9)^Bull!K37+((Bull!$K$20*(1+F$7))*((Bull!$K$10-Bull!$K$11)*(1-Bull!$K$12)+Bull!$K$13-Bull!$K$14)-((Bull!$K$20*(1+F$7))*Bull!$K$15-Bull!$K$30))/($A9-F$7)/(1+$A9)^Bull!$K$37)+Capital!$B$32-Capital!$B$19-Capital!$B$20-(Capital!$B$27+Capital!$B$25+Capital!$B$26+Capital!$B$28))/(Capital!$B$18+0))&lt;Capital!$C$27,(((Bull!B32*Bull!B36/(1+$A9)^Bull!B37+Bull!C32*Bull!C36/(1+$A9)^Bull!C37+Bull!D32*Bull!D36/(1+$A9)^Bull!D37+Bull!E32*Bull!E36/(1+$A9)^Bull!E37+Bull!F32*Bull!F36/(1+$A9)^Bull!F37+Bull!G32*Bull!G36/(1+$A9)^Bull!G37+Bull!H32*Bull!H36/(1+$A9)^Bull!H37+Bull!I32*Bull!I36/(1+$A9)^Bull!I37+Bull!J32*Bull!J36/(1+$A9)^Bull!J37+Bull!K32*Bull!K36/(1+$A9)^Bull!K37+((Bull!$K$20*(1+F$7))*((Bull!$K$10-Bull!$K$11)*(1-Bull!$K$12)+Bull!$K$13-Bull!$K$14)-((Bull!$K$20*(1+F$7))*Bull!$K$15-Bull!$K$30))/($A9-F$7)/(1+$A9)^Bull!$K$37)+Capital!$B$32-Capital!$B$19-Capital!$B$20-(Capital!$B$27+Capital!$B$25+Capital!$B$26+Capital!$B$28))/(Capital!$B$18+0)),(IF((((Bull!B32*Bull!B36/(1+$A9)^Bull!B37+Bull!C32*Bull!C36/(1+$A9)^Bull!C37+Bull!D32*Bull!D36/(1+$A9)^Bull!D37+Bull!E32*Bull!E36/(1+$A9)^Bull!E37+Bull!F32*Bull!F36/(1+$A9)^Bull!F37+Bull!G32*Bull!G36/(1+$A9)^Bull!G37+Bull!H32*Bull!H36/(1+$A9)^Bull!H37+Bull!I32*Bull!I36/(1+$A9)^Bull!I37+Bull!J32*Bull!J36/(1+$A9)^Bull!J37+Bull!K32*Bull!K36/(1+$A9)^Bull!K37+((Bull!$K$20*(1+F$7))*((Bull!$K$10-Bull!$K$11)*(1-Bull!$K$12)+Bull!$K$13-Bull!$K$14)-((Bull!$K$20*(1+F$7))*Bull!$K$15-Bull!$K$30))/($A9-F$7)/(1+$A9)^Bull!$K$37)+Capital!$B$32-Capital!$B$19-Capital!$B$20-(Capital!$B$25+Capital!$B$26+Capital!$B$28))/(Capital!$B$18+Capital!$D$27))&lt;Capital!$C$25,(((Bull!B32*Bull!B36/(1+$A9)^Bull!B37+Bull!C32*Bull!C36/(1+$A9)^Bull!C37+Bull!D32*Bull!D36/(1+$A9)^Bull!D37+Bull!E32*Bull!E36/(1+$A9)^Bull!E37+Bull!F32*Bull!F36/(1+$A9)^Bull!F37+Bull!G32*Bull!G36/(1+$A9)^Bull!G37+Bull!H32*Bull!H36/(1+$A9)^Bull!H37+Bull!I32*Bull!I36/(1+$A9)^Bull!I37+Bull!J32*Bull!J36/(1+$A9)^Bull!J37+Bull!K32*Bull!K36/(1+$A9)^Bull!K37+((Bull!$K$20*(1+F$7))*((Bull!$K$10-Bull!$K$11)*(1-Bull!$K$12)+Bull!$K$13-Bull!$K$14)-((Bull!$K$20*(1+F$7))*Bull!$K$15-Bull!$K$30))/($A9-F$7)/(1+$A9)^Bull!$K$37)+Capital!$B$32-Capital!$B$19-Capital!$B$20-(Capital!$B$25+Capital!$B$26+Capital!$B$28))/(Capital!$B$18+Capital!$D$27)),(IF((((Bull!B32*Bull!B36/(1+$A9)^Bull!B37+Bull!C32*Bull!C36/(1+$A9)^Bull!C37+Bull!D32*Bull!D36/(1+$A9)^Bull!D37+Bull!E32*Bull!E36/(1+$A9)^Bull!E37+Bull!F32*Bull!F36/(1+$A9)^Bull!F37+Bull!G32*Bull!G36/(1+$A9)^Bull!G37+Bull!H32*Bull!H36/(1+$A9)^Bull!H37+Bull!I32*Bull!I36/(1+$A9)^Bull!I37+Bull!J32*Bull!J36/(1+$A9)^Bull!J37+Bull!K32*Bull!K36/(1+$A9)^Bull!K37+((Bull!$K$20*(1+F$7))*((Bull!$K$10-Bull!$K$11)*(1-Bull!$K$12)+Bull!$K$13-Bull!$K$14)-((Bull!$K$20*(1+F$7))*Bull!$K$15-Bull!$K$30))/($A9-F$7)/(1+$A9)^Bull!$K$37)+Capital!$B$32-Capital!$B$19-Capital!$B$20-(Capital!$B$26+Capital!$B$28))/(Capital!$B$18+Capital!$D$27+Capital!$D$25))&lt;Capital!$C$26,(((Bull!B32*Bull!B36/(1+$A9)^Bull!B37+Bull!C32*Bull!C36/(1+$A9)^Bull!C37+Bull!D32*Bull!D36/(1+$A9)^Bull!D37+Bull!E32*Bull!E36/(1+$A9)^Bull!E37+Bull!F32*Bull!F36/(1+$A9)^Bull!F37+Bull!G32*Bull!G36/(1+$A9)^Bull!G37+Bull!H32*Bull!H36/(1+$A9)^Bull!H37+Bull!I32*Bull!I36/(1+$A9)^Bull!I37+Bull!J32*Bull!J36/(1+$A9)^Bull!J37+Bull!K32*Bull!K36/(1+$A9)^Bull!K37+((Bull!$K$20*(1+F$7))*((Bull!$K$10-Bull!$K$11)*(1-Bull!$K$12)+Bull!$K$13-Bull!$K$14)-((Bull!$K$20*(1+F$7))*Bull!$K$15-Bull!$K$30))/($A9-F$7)/(1+$A9)^Bull!$K$37)+Capital!$B$32-Capital!$B$19-Capital!$B$20-(Capital!$B$26+Capital!$B$28))/(Capital!$B$18+Capital!$D$27+Capital!$D$25)),(IF((((Bull!B32*Bull!B36/(1+$A9)^Bull!B37+Bull!C32*Bull!C36/(1+$A9)^Bull!C37+Bull!D32*Bull!D36/(1+$A9)^Bull!D37+Bull!E32*Bull!E36/(1+$A9)^Bull!E37+Bull!F32*Bull!F36/(1+$A9)^Bull!F37+Bull!G32*Bull!G36/(1+$A9)^Bull!G37+Bull!H32*Bull!H36/(1+$A9)^Bull!H37+Bull!I32*Bull!I36/(1+$A9)^Bull!I37+Bull!J32*Bull!J36/(1+$A9)^Bull!J37+Bull!K32*Bull!K36/(1+$A9)^Bull!K37+((Bull!$K$20*(1+F$7))*((Bull!$K$10-Bull!$K$11)*(1-Bull!$K$12)+Bull!$K$13-Bull!$K$14)-((Bull!$K$20*(1+F$7))*Bull!$K$15-Bull!$K$30))/($A9-F$7)/(1+$A9)^Bull!$K$37)+Capital!$B$32-Capital!$B$19-Capital!$B$20-(Capital!$B$28))/(Capital!$B$18+Capital!$D$27+Capital!$D$25+Capital!$D$26))&lt;Capital!$C$28,(((Bull!B32*Bull!B36/(1+$A9)^Bull!B37+Bull!C32*Bull!C36/(1+$A9)^Bull!C37+Bull!D32*Bull!D36/(1+$A9)^Bull!D37+Bull!E32*Bull!E36/(1+$A9)^Bull!E37+Bull!F32*Bull!F36/(1+$A9)^Bull!F37+Bull!G32*Bull!G36/(1+$A9)^Bull!G37+Bull!H32*Bull!H36/(1+$A9)^Bull!H37+Bull!I32*Bull!I36/(1+$A9)^Bull!I37+Bull!J32*Bull!J36/(1+$A9)^Bull!J37+Bull!K32*Bull!K36/(1+$A9)^Bull!K37+((Bull!$K$20*(1+F$7))*((Bull!$K$10-Bull!$K$11)*(1-Bull!$K$12)+Bull!$K$13-Bull!$K$14)-((Bull!$K$20*(1+F$7))*Bull!$K$15-Bull!$K$30))/($A9-F$7)/(1+$A9)^Bull!$K$37)+Capital!$B$32-Capital!$B$19-Capital!$B$20-(Capital!$B$28))/(Capital!$B$18+Capital!$D$27+Capital!$D$25+Capital!$D$26)),(((Bull!B32*Bull!B36/(1+$A9)^Bull!B37+Bull!C32*Bull!C36/(1+$A9)^Bull!C37+Bull!D32*Bull!D36/(1+$A9)^Bull!D37+Bull!E32*Bull!E36/(1+$A9)^Bull!E37+Bull!F32*Bull!F36/(1+$A9)^Bull!F37+Bull!G32*Bull!G36/(1+$A9)^Bull!G37+Bull!H32*Bull!H36/(1+$A9)^Bull!H37+Bull!I32*Bull!I36/(1+$A9)^Bull!I37+Bull!J32*Bull!J36/(1+$A9)^Bull!J37+Bull!K32*Bull!K36/(1+$A9)^Bull!K37+((Bull!$K$20*(1+F$7))*((Bull!$K$10-Bull!$K$11)*(1-Bull!$K$12)+Bull!$K$13-Bull!$K$14)-((Bull!$K$20*(1+F$7))*Bull!$K$15-Bull!$K$30))/($A9-F$7)/(1+$A9)^Bull!$K$37)+Capital!$B$32-Capital!$B$19-Capital!$B$20-(0))/(Capital!$B$18+Capital!$D$27+Capital!$D$25+Capital!$D$26+Capital!$D$28)))))))))</f>
        <v>343.39830938887718</v>
      </c>
    </row>
    <row r="10" spans="1:11" ht="15.5" x14ac:dyDescent="0.35">
      <c r="A10" s="7">
        <v>0.1397418089220295</v>
      </c>
      <c r="B10" s="3">
        <f>IF((((Bull!B32*Bull!B36/(1+$A10)^Bull!B37+Bull!C32*Bull!C36/(1+$A10)^Bull!C37+Bull!D32*Bull!D36/(1+$A10)^Bull!D37+Bull!E32*Bull!E36/(1+$A10)^Bull!E37+Bull!F32*Bull!F36/(1+$A10)^Bull!F37+Bull!G32*Bull!G36/(1+$A10)^Bull!G37+Bull!H32*Bull!H36/(1+$A10)^Bull!H37+Bull!I32*Bull!I36/(1+$A10)^Bull!I37+Bull!J32*Bull!J36/(1+$A10)^Bull!J37+Bull!K32*Bull!K36/(1+$A10)^Bull!K37+((Bull!$K$20*(1+B$7))*((Bull!$K$10-Bull!$K$11)*(1-Bull!$K$12)+Bull!$K$13-Bull!$K$14)-((Bull!$K$20*(1+B$7))*Bull!$K$15-Bull!$K$30))/($A10-B$7)/(1+$A10)^Bull!$K$37)+Capital!$B$32-Capital!$B$19-Capital!$B$20-(Capital!$B$27+Capital!$B$25+Capital!$B$26+Capital!$B$28))/(Capital!$B$18+0))&lt;Capital!$C$27,(((Bull!B32*Bull!B36/(1+$A10)^Bull!B37+Bull!C32*Bull!C36/(1+$A10)^Bull!C37+Bull!D32*Bull!D36/(1+$A10)^Bull!D37+Bull!E32*Bull!E36/(1+$A10)^Bull!E37+Bull!F32*Bull!F36/(1+$A10)^Bull!F37+Bull!G32*Bull!G36/(1+$A10)^Bull!G37+Bull!H32*Bull!H36/(1+$A10)^Bull!H37+Bull!I32*Bull!I36/(1+$A10)^Bull!I37+Bull!J32*Bull!J36/(1+$A10)^Bull!J37+Bull!K32*Bull!K36/(1+$A10)^Bull!K37+((Bull!$K$20*(1+B$7))*((Bull!$K$10-Bull!$K$11)*(1-Bull!$K$12)+Bull!$K$13-Bull!$K$14)-((Bull!$K$20*(1+B$7))*Bull!$K$15-Bull!$K$30))/($A10-B$7)/(1+$A10)^Bull!$K$37)+Capital!$B$32-Capital!$B$19-Capital!$B$20-(Capital!$B$27+Capital!$B$25+Capital!$B$26+Capital!$B$28))/(Capital!$B$18+0)),(IF((((Bull!B32*Bull!B36/(1+$A10)^Bull!B37+Bull!C32*Bull!C36/(1+$A10)^Bull!C37+Bull!D32*Bull!D36/(1+$A10)^Bull!D37+Bull!E32*Bull!E36/(1+$A10)^Bull!E37+Bull!F32*Bull!F36/(1+$A10)^Bull!F37+Bull!G32*Bull!G36/(1+$A10)^Bull!G37+Bull!H32*Bull!H36/(1+$A10)^Bull!H37+Bull!I32*Bull!I36/(1+$A10)^Bull!I37+Bull!J32*Bull!J36/(1+$A10)^Bull!J37+Bull!K32*Bull!K36/(1+$A10)^Bull!K37+((Bull!$K$20*(1+B$7))*((Bull!$K$10-Bull!$K$11)*(1-Bull!$K$12)+Bull!$K$13-Bull!$K$14)-((Bull!$K$20*(1+B$7))*Bull!$K$15-Bull!$K$30))/($A10-B$7)/(1+$A10)^Bull!$K$37)+Capital!$B$32-Capital!$B$19-Capital!$B$20-(Capital!$B$25+Capital!$B$26+Capital!$B$28))/(Capital!$B$18+Capital!$D$27))&lt;Capital!$C$25,(((Bull!B32*Bull!B36/(1+$A10)^Bull!B37+Bull!C32*Bull!C36/(1+$A10)^Bull!C37+Bull!D32*Bull!D36/(1+$A10)^Bull!D37+Bull!E32*Bull!E36/(1+$A10)^Bull!E37+Bull!F32*Bull!F36/(1+$A10)^Bull!F37+Bull!G32*Bull!G36/(1+$A10)^Bull!G37+Bull!H32*Bull!H36/(1+$A10)^Bull!H37+Bull!I32*Bull!I36/(1+$A10)^Bull!I37+Bull!J32*Bull!J36/(1+$A10)^Bull!J37+Bull!K32*Bull!K36/(1+$A10)^Bull!K37+((Bull!$K$20*(1+B$7))*((Bull!$K$10-Bull!$K$11)*(1-Bull!$K$12)+Bull!$K$13-Bull!$K$14)-((Bull!$K$20*(1+B$7))*Bull!$K$15-Bull!$K$30))/($A10-B$7)/(1+$A10)^Bull!$K$37)+Capital!$B$32-Capital!$B$19-Capital!$B$20-(Capital!$B$25+Capital!$B$26+Capital!$B$28))/(Capital!$B$18+Capital!$D$27)),(IF((((Bull!B32*Bull!B36/(1+$A10)^Bull!B37+Bull!C32*Bull!C36/(1+$A10)^Bull!C37+Bull!D32*Bull!D36/(1+$A10)^Bull!D37+Bull!E32*Bull!E36/(1+$A10)^Bull!E37+Bull!F32*Bull!F36/(1+$A10)^Bull!F37+Bull!G32*Bull!G36/(1+$A10)^Bull!G37+Bull!H32*Bull!H36/(1+$A10)^Bull!H37+Bull!I32*Bull!I36/(1+$A10)^Bull!I37+Bull!J32*Bull!J36/(1+$A10)^Bull!J37+Bull!K32*Bull!K36/(1+$A10)^Bull!K37+((Bull!$K$20*(1+B$7))*((Bull!$K$10-Bull!$K$11)*(1-Bull!$K$12)+Bull!$K$13-Bull!$K$14)-((Bull!$K$20*(1+B$7))*Bull!$K$15-Bull!$K$30))/($A10-B$7)/(1+$A10)^Bull!$K$37)+Capital!$B$32-Capital!$B$19-Capital!$B$20-(Capital!$B$26+Capital!$B$28))/(Capital!$B$18+Capital!$D$27+Capital!$D$25))&lt;Capital!$C$26,(((Bull!B32*Bull!B36/(1+$A10)^Bull!B37+Bull!C32*Bull!C36/(1+$A10)^Bull!C37+Bull!D32*Bull!D36/(1+$A10)^Bull!D37+Bull!E32*Bull!E36/(1+$A10)^Bull!E37+Bull!F32*Bull!F36/(1+$A10)^Bull!F37+Bull!G32*Bull!G36/(1+$A10)^Bull!G37+Bull!H32*Bull!H36/(1+$A10)^Bull!H37+Bull!I32*Bull!I36/(1+$A10)^Bull!I37+Bull!J32*Bull!J36/(1+$A10)^Bull!J37+Bull!K32*Bull!K36/(1+$A10)^Bull!K37+((Bull!$K$20*(1+B$7))*((Bull!$K$10-Bull!$K$11)*(1-Bull!$K$12)+Bull!$K$13-Bull!$K$14)-((Bull!$K$20*(1+B$7))*Bull!$K$15-Bull!$K$30))/($A10-B$7)/(1+$A10)^Bull!$K$37)+Capital!$B$32-Capital!$B$19-Capital!$B$20-(Capital!$B$26+Capital!$B$28))/(Capital!$B$18+Capital!$D$27+Capital!$D$25)),(IF((((Bull!B32*Bull!B36/(1+$A10)^Bull!B37+Bull!C32*Bull!C36/(1+$A10)^Bull!C37+Bull!D32*Bull!D36/(1+$A10)^Bull!D37+Bull!E32*Bull!E36/(1+$A10)^Bull!E37+Bull!F32*Bull!F36/(1+$A10)^Bull!F37+Bull!G32*Bull!G36/(1+$A10)^Bull!G37+Bull!H32*Bull!H36/(1+$A10)^Bull!H37+Bull!I32*Bull!I36/(1+$A10)^Bull!I37+Bull!J32*Bull!J36/(1+$A10)^Bull!J37+Bull!K32*Bull!K36/(1+$A10)^Bull!K37+((Bull!$K$20*(1+B$7))*((Bull!$K$10-Bull!$K$11)*(1-Bull!$K$12)+Bull!$K$13-Bull!$K$14)-((Bull!$K$20*(1+B$7))*Bull!$K$15-Bull!$K$30))/($A10-B$7)/(1+$A10)^Bull!$K$37)+Capital!$B$32-Capital!$B$19-Capital!$B$20-(Capital!$B$28))/(Capital!$B$18+Capital!$D$27+Capital!$D$25+Capital!$D$26))&lt;Capital!$C$28,(((Bull!B32*Bull!B36/(1+$A10)^Bull!B37+Bull!C32*Bull!C36/(1+$A10)^Bull!C37+Bull!D32*Bull!D36/(1+$A10)^Bull!D37+Bull!E32*Bull!E36/(1+$A10)^Bull!E37+Bull!F32*Bull!F36/(1+$A10)^Bull!F37+Bull!G32*Bull!G36/(1+$A10)^Bull!G37+Bull!H32*Bull!H36/(1+$A10)^Bull!H37+Bull!I32*Bull!I36/(1+$A10)^Bull!I37+Bull!J32*Bull!J36/(1+$A10)^Bull!J37+Bull!K32*Bull!K36/(1+$A10)^Bull!K37+((Bull!$K$20*(1+B$7))*((Bull!$K$10-Bull!$K$11)*(1-Bull!$K$12)+Bull!$K$13-Bull!$K$14)-((Bull!$K$20*(1+B$7))*Bull!$K$15-Bull!$K$30))/($A10-B$7)/(1+$A10)^Bull!$K$37)+Capital!$B$32-Capital!$B$19-Capital!$B$20-(Capital!$B$28))/(Capital!$B$18+Capital!$D$27+Capital!$D$25+Capital!$D$26)),(((Bull!B32*Bull!B36/(1+$A10)^Bull!B37+Bull!C32*Bull!C36/(1+$A10)^Bull!C37+Bull!D32*Bull!D36/(1+$A10)^Bull!D37+Bull!E32*Bull!E36/(1+$A10)^Bull!E37+Bull!F32*Bull!F36/(1+$A10)^Bull!F37+Bull!G32*Bull!G36/(1+$A10)^Bull!G37+Bull!H32*Bull!H36/(1+$A10)^Bull!H37+Bull!I32*Bull!I36/(1+$A10)^Bull!I37+Bull!J32*Bull!J36/(1+$A10)^Bull!J37+Bull!K32*Bull!K36/(1+$A10)^Bull!K37+((Bull!$K$20*(1+B$7))*((Bull!$K$10-Bull!$K$11)*(1-Bull!$K$12)+Bull!$K$13-Bull!$K$14)-((Bull!$K$20*(1+B$7))*Bull!$K$15-Bull!$K$30))/($A10-B$7)/(1+$A10)^Bull!$K$37)+Capital!$B$32-Capital!$B$19-Capital!$B$20-(0))/(Capital!$B$18+Capital!$D$27+Capital!$D$25+Capital!$D$26+Capital!$D$28)))))))))</f>
        <v>291.62659709801142</v>
      </c>
      <c r="C10" s="3">
        <f>IF((((Bull!B32*Bull!B36/(1+$A10)^Bull!B37+Bull!C32*Bull!C36/(1+$A10)^Bull!C37+Bull!D32*Bull!D36/(1+$A10)^Bull!D37+Bull!E32*Bull!E36/(1+$A10)^Bull!E37+Bull!F32*Bull!F36/(1+$A10)^Bull!F37+Bull!G32*Bull!G36/(1+$A10)^Bull!G37+Bull!H32*Bull!H36/(1+$A10)^Bull!H37+Bull!I32*Bull!I36/(1+$A10)^Bull!I37+Bull!J32*Bull!J36/(1+$A10)^Bull!J37+Bull!K32*Bull!K36/(1+$A10)^Bull!K37+((Bull!$K$20*(1+C$7))*((Bull!$K$10-Bull!$K$11)*(1-Bull!$K$12)+Bull!$K$13-Bull!$K$14)-((Bull!$K$20*(1+C$7))*Bull!$K$15-Bull!$K$30))/($A10-C$7)/(1+$A10)^Bull!$K$37)+Capital!$B$32-Capital!$B$19-Capital!$B$20-(Capital!$B$27+Capital!$B$25+Capital!$B$26+Capital!$B$28))/(Capital!$B$18+0))&lt;Capital!$C$27,(((Bull!B32*Bull!B36/(1+$A10)^Bull!B37+Bull!C32*Bull!C36/(1+$A10)^Bull!C37+Bull!D32*Bull!D36/(1+$A10)^Bull!D37+Bull!E32*Bull!E36/(1+$A10)^Bull!E37+Bull!F32*Bull!F36/(1+$A10)^Bull!F37+Bull!G32*Bull!G36/(1+$A10)^Bull!G37+Bull!H32*Bull!H36/(1+$A10)^Bull!H37+Bull!I32*Bull!I36/(1+$A10)^Bull!I37+Bull!J32*Bull!J36/(1+$A10)^Bull!J37+Bull!K32*Bull!K36/(1+$A10)^Bull!K37+((Bull!$K$20*(1+C$7))*((Bull!$K$10-Bull!$K$11)*(1-Bull!$K$12)+Bull!$K$13-Bull!$K$14)-((Bull!$K$20*(1+C$7))*Bull!$K$15-Bull!$K$30))/($A10-C$7)/(1+$A10)^Bull!$K$37)+Capital!$B$32-Capital!$B$19-Capital!$B$20-(Capital!$B$27+Capital!$B$25+Capital!$B$26+Capital!$B$28))/(Capital!$B$18+0)),(IF((((Bull!B32*Bull!B36/(1+$A10)^Bull!B37+Bull!C32*Bull!C36/(1+$A10)^Bull!C37+Bull!D32*Bull!D36/(1+$A10)^Bull!D37+Bull!E32*Bull!E36/(1+$A10)^Bull!E37+Bull!F32*Bull!F36/(1+$A10)^Bull!F37+Bull!G32*Bull!G36/(1+$A10)^Bull!G37+Bull!H32*Bull!H36/(1+$A10)^Bull!H37+Bull!I32*Bull!I36/(1+$A10)^Bull!I37+Bull!J32*Bull!J36/(1+$A10)^Bull!J37+Bull!K32*Bull!K36/(1+$A10)^Bull!K37+((Bull!$K$20*(1+C$7))*((Bull!$K$10-Bull!$K$11)*(1-Bull!$K$12)+Bull!$K$13-Bull!$K$14)-((Bull!$K$20*(1+C$7))*Bull!$K$15-Bull!$K$30))/($A10-C$7)/(1+$A10)^Bull!$K$37)+Capital!$B$32-Capital!$B$19-Capital!$B$20-(Capital!$B$25+Capital!$B$26+Capital!$B$28))/(Capital!$B$18+Capital!$D$27))&lt;Capital!$C$25,(((Bull!B32*Bull!B36/(1+$A10)^Bull!B37+Bull!C32*Bull!C36/(1+$A10)^Bull!C37+Bull!D32*Bull!D36/(1+$A10)^Bull!D37+Bull!E32*Bull!E36/(1+$A10)^Bull!E37+Bull!F32*Bull!F36/(1+$A10)^Bull!F37+Bull!G32*Bull!G36/(1+$A10)^Bull!G37+Bull!H32*Bull!H36/(1+$A10)^Bull!H37+Bull!I32*Bull!I36/(1+$A10)^Bull!I37+Bull!J32*Bull!J36/(1+$A10)^Bull!J37+Bull!K32*Bull!K36/(1+$A10)^Bull!K37+((Bull!$K$20*(1+C$7))*((Bull!$K$10-Bull!$K$11)*(1-Bull!$K$12)+Bull!$K$13-Bull!$K$14)-((Bull!$K$20*(1+C$7))*Bull!$K$15-Bull!$K$30))/($A10-C$7)/(1+$A10)^Bull!$K$37)+Capital!$B$32-Capital!$B$19-Capital!$B$20-(Capital!$B$25+Capital!$B$26+Capital!$B$28))/(Capital!$B$18+Capital!$D$27)),(IF((((Bull!B32*Bull!B36/(1+$A10)^Bull!B37+Bull!C32*Bull!C36/(1+$A10)^Bull!C37+Bull!D32*Bull!D36/(1+$A10)^Bull!D37+Bull!E32*Bull!E36/(1+$A10)^Bull!E37+Bull!F32*Bull!F36/(1+$A10)^Bull!F37+Bull!G32*Bull!G36/(1+$A10)^Bull!G37+Bull!H32*Bull!H36/(1+$A10)^Bull!H37+Bull!I32*Bull!I36/(1+$A10)^Bull!I37+Bull!J32*Bull!J36/(1+$A10)^Bull!J37+Bull!K32*Bull!K36/(1+$A10)^Bull!K37+((Bull!$K$20*(1+C$7))*((Bull!$K$10-Bull!$K$11)*(1-Bull!$K$12)+Bull!$K$13-Bull!$K$14)-((Bull!$K$20*(1+C$7))*Bull!$K$15-Bull!$K$30))/($A10-C$7)/(1+$A10)^Bull!$K$37)+Capital!$B$32-Capital!$B$19-Capital!$B$20-(Capital!$B$26+Capital!$B$28))/(Capital!$B$18+Capital!$D$27+Capital!$D$25))&lt;Capital!$C$26,(((Bull!B32*Bull!B36/(1+$A10)^Bull!B37+Bull!C32*Bull!C36/(1+$A10)^Bull!C37+Bull!D32*Bull!D36/(1+$A10)^Bull!D37+Bull!E32*Bull!E36/(1+$A10)^Bull!E37+Bull!F32*Bull!F36/(1+$A10)^Bull!F37+Bull!G32*Bull!G36/(1+$A10)^Bull!G37+Bull!H32*Bull!H36/(1+$A10)^Bull!H37+Bull!I32*Bull!I36/(1+$A10)^Bull!I37+Bull!J32*Bull!J36/(1+$A10)^Bull!J37+Bull!K32*Bull!K36/(1+$A10)^Bull!K37+((Bull!$K$20*(1+C$7))*((Bull!$K$10-Bull!$K$11)*(1-Bull!$K$12)+Bull!$K$13-Bull!$K$14)-((Bull!$K$20*(1+C$7))*Bull!$K$15-Bull!$K$30))/($A10-C$7)/(1+$A10)^Bull!$K$37)+Capital!$B$32-Capital!$B$19-Capital!$B$20-(Capital!$B$26+Capital!$B$28))/(Capital!$B$18+Capital!$D$27+Capital!$D$25)),(IF((((Bull!B32*Bull!B36/(1+$A10)^Bull!B37+Bull!C32*Bull!C36/(1+$A10)^Bull!C37+Bull!D32*Bull!D36/(1+$A10)^Bull!D37+Bull!E32*Bull!E36/(1+$A10)^Bull!E37+Bull!F32*Bull!F36/(1+$A10)^Bull!F37+Bull!G32*Bull!G36/(1+$A10)^Bull!G37+Bull!H32*Bull!H36/(1+$A10)^Bull!H37+Bull!I32*Bull!I36/(1+$A10)^Bull!I37+Bull!J32*Bull!J36/(1+$A10)^Bull!J37+Bull!K32*Bull!K36/(1+$A10)^Bull!K37+((Bull!$K$20*(1+C$7))*((Bull!$K$10-Bull!$K$11)*(1-Bull!$K$12)+Bull!$K$13-Bull!$K$14)-((Bull!$K$20*(1+C$7))*Bull!$K$15-Bull!$K$30))/($A10-C$7)/(1+$A10)^Bull!$K$37)+Capital!$B$32-Capital!$B$19-Capital!$B$20-(Capital!$B$28))/(Capital!$B$18+Capital!$D$27+Capital!$D$25+Capital!$D$26))&lt;Capital!$C$28,(((Bull!B32*Bull!B36/(1+$A10)^Bull!B37+Bull!C32*Bull!C36/(1+$A10)^Bull!C37+Bull!D32*Bull!D36/(1+$A10)^Bull!D37+Bull!E32*Bull!E36/(1+$A10)^Bull!E37+Bull!F32*Bull!F36/(1+$A10)^Bull!F37+Bull!G32*Bull!G36/(1+$A10)^Bull!G37+Bull!H32*Bull!H36/(1+$A10)^Bull!H37+Bull!I32*Bull!I36/(1+$A10)^Bull!I37+Bull!J32*Bull!J36/(1+$A10)^Bull!J37+Bull!K32*Bull!K36/(1+$A10)^Bull!K37+((Bull!$K$20*(1+C$7))*((Bull!$K$10-Bull!$K$11)*(1-Bull!$K$12)+Bull!$K$13-Bull!$K$14)-((Bull!$K$20*(1+C$7))*Bull!$K$15-Bull!$K$30))/($A10-C$7)/(1+$A10)^Bull!$K$37)+Capital!$B$32-Capital!$B$19-Capital!$B$20-(Capital!$B$28))/(Capital!$B$18+Capital!$D$27+Capital!$D$25+Capital!$D$26)),(((Bull!B32*Bull!B36/(1+$A10)^Bull!B37+Bull!C32*Bull!C36/(1+$A10)^Bull!C37+Bull!D32*Bull!D36/(1+$A10)^Bull!D37+Bull!E32*Bull!E36/(1+$A10)^Bull!E37+Bull!F32*Bull!F36/(1+$A10)^Bull!F37+Bull!G32*Bull!G36/(1+$A10)^Bull!G37+Bull!H32*Bull!H36/(1+$A10)^Bull!H37+Bull!I32*Bull!I36/(1+$A10)^Bull!I37+Bull!J32*Bull!J36/(1+$A10)^Bull!J37+Bull!K32*Bull!K36/(1+$A10)^Bull!K37+((Bull!$K$20*(1+C$7))*((Bull!$K$10-Bull!$K$11)*(1-Bull!$K$12)+Bull!$K$13-Bull!$K$14)-((Bull!$K$20*(1+C$7))*Bull!$K$15-Bull!$K$30))/($A10-C$7)/(1+$A10)^Bull!$K$37)+Capital!$B$32-Capital!$B$19-Capital!$B$20-(0))/(Capital!$B$18+Capital!$D$27+Capital!$D$25+Capital!$D$26+Capital!$D$28)))))))))</f>
        <v>295.77059175539864</v>
      </c>
      <c r="D10" s="3">
        <f>IF((((Bull!B32*Bull!B36/(1+$A10)^Bull!B37+Bull!C32*Bull!C36/(1+$A10)^Bull!C37+Bull!D32*Bull!D36/(1+$A10)^Bull!D37+Bull!E32*Bull!E36/(1+$A10)^Bull!E37+Bull!F32*Bull!F36/(1+$A10)^Bull!F37+Bull!G32*Bull!G36/(1+$A10)^Bull!G37+Bull!H32*Bull!H36/(1+$A10)^Bull!H37+Bull!I32*Bull!I36/(1+$A10)^Bull!I37+Bull!J32*Bull!J36/(1+$A10)^Bull!J37+Bull!K32*Bull!K36/(1+$A10)^Bull!K37+((Bull!$K$20*(1+D$7))*((Bull!$K$10-Bull!$K$11)*(1-Bull!$K$12)+Bull!$K$13-Bull!$K$14)-((Bull!$K$20*(1+D$7))*Bull!$K$15-Bull!$K$30))/($A10-D$7)/(1+$A10)^Bull!$K$37)+Capital!$B$32-Capital!$B$19-Capital!$B$20-(Capital!$B$27+Capital!$B$25+Capital!$B$26+Capital!$B$28))/(Capital!$B$18+0))&lt;Capital!$C$27,(((Bull!B32*Bull!B36/(1+$A10)^Bull!B37+Bull!C32*Bull!C36/(1+$A10)^Bull!C37+Bull!D32*Bull!D36/(1+$A10)^Bull!D37+Bull!E32*Bull!E36/(1+$A10)^Bull!E37+Bull!F32*Bull!F36/(1+$A10)^Bull!F37+Bull!G32*Bull!G36/(1+$A10)^Bull!G37+Bull!H32*Bull!H36/(1+$A10)^Bull!H37+Bull!I32*Bull!I36/(1+$A10)^Bull!I37+Bull!J32*Bull!J36/(1+$A10)^Bull!J37+Bull!K32*Bull!K36/(1+$A10)^Bull!K37+((Bull!$K$20*(1+D$7))*((Bull!$K$10-Bull!$K$11)*(1-Bull!$K$12)+Bull!$K$13-Bull!$K$14)-((Bull!$K$20*(1+D$7))*Bull!$K$15-Bull!$K$30))/($A10-D$7)/(1+$A10)^Bull!$K$37)+Capital!$B$32-Capital!$B$19-Capital!$B$20-(Capital!$B$27+Capital!$B$25+Capital!$B$26+Capital!$B$28))/(Capital!$B$18+0)),(IF((((Bull!B32*Bull!B36/(1+$A10)^Bull!B37+Bull!C32*Bull!C36/(1+$A10)^Bull!C37+Bull!D32*Bull!D36/(1+$A10)^Bull!D37+Bull!E32*Bull!E36/(1+$A10)^Bull!E37+Bull!F32*Bull!F36/(1+$A10)^Bull!F37+Bull!G32*Bull!G36/(1+$A10)^Bull!G37+Bull!H32*Bull!H36/(1+$A10)^Bull!H37+Bull!I32*Bull!I36/(1+$A10)^Bull!I37+Bull!J32*Bull!J36/(1+$A10)^Bull!J37+Bull!K32*Bull!K36/(1+$A10)^Bull!K37+((Bull!$K$20*(1+D$7))*((Bull!$K$10-Bull!$K$11)*(1-Bull!$K$12)+Bull!$K$13-Bull!$K$14)-((Bull!$K$20*(1+D$7))*Bull!$K$15-Bull!$K$30))/($A10-D$7)/(1+$A10)^Bull!$K$37)+Capital!$B$32-Capital!$B$19-Capital!$B$20-(Capital!$B$25+Capital!$B$26+Capital!$B$28))/(Capital!$B$18+Capital!$D$27))&lt;Capital!$C$25,(((Bull!B32*Bull!B36/(1+$A10)^Bull!B37+Bull!C32*Bull!C36/(1+$A10)^Bull!C37+Bull!D32*Bull!D36/(1+$A10)^Bull!D37+Bull!E32*Bull!E36/(1+$A10)^Bull!E37+Bull!F32*Bull!F36/(1+$A10)^Bull!F37+Bull!G32*Bull!G36/(1+$A10)^Bull!G37+Bull!H32*Bull!H36/(1+$A10)^Bull!H37+Bull!I32*Bull!I36/(1+$A10)^Bull!I37+Bull!J32*Bull!J36/(1+$A10)^Bull!J37+Bull!K32*Bull!K36/(1+$A10)^Bull!K37+((Bull!$K$20*(1+D$7))*((Bull!$K$10-Bull!$K$11)*(1-Bull!$K$12)+Bull!$K$13-Bull!$K$14)-((Bull!$K$20*(1+D$7))*Bull!$K$15-Bull!$K$30))/($A10-D$7)/(1+$A10)^Bull!$K$37)+Capital!$B$32-Capital!$B$19-Capital!$B$20-(Capital!$B$25+Capital!$B$26+Capital!$B$28))/(Capital!$B$18+Capital!$D$27)),(IF((((Bull!B32*Bull!B36/(1+$A10)^Bull!B37+Bull!C32*Bull!C36/(1+$A10)^Bull!C37+Bull!D32*Bull!D36/(1+$A10)^Bull!D37+Bull!E32*Bull!E36/(1+$A10)^Bull!E37+Bull!F32*Bull!F36/(1+$A10)^Bull!F37+Bull!G32*Bull!G36/(1+$A10)^Bull!G37+Bull!H32*Bull!H36/(1+$A10)^Bull!H37+Bull!I32*Bull!I36/(1+$A10)^Bull!I37+Bull!J32*Bull!J36/(1+$A10)^Bull!J37+Bull!K32*Bull!K36/(1+$A10)^Bull!K37+((Bull!$K$20*(1+D$7))*((Bull!$K$10-Bull!$K$11)*(1-Bull!$K$12)+Bull!$K$13-Bull!$K$14)-((Bull!$K$20*(1+D$7))*Bull!$K$15-Bull!$K$30))/($A10-D$7)/(1+$A10)^Bull!$K$37)+Capital!$B$32-Capital!$B$19-Capital!$B$20-(Capital!$B$26+Capital!$B$28))/(Capital!$B$18+Capital!$D$27+Capital!$D$25))&lt;Capital!$C$26,(((Bull!B32*Bull!B36/(1+$A10)^Bull!B37+Bull!C32*Bull!C36/(1+$A10)^Bull!C37+Bull!D32*Bull!D36/(1+$A10)^Bull!D37+Bull!E32*Bull!E36/(1+$A10)^Bull!E37+Bull!F32*Bull!F36/(1+$A10)^Bull!F37+Bull!G32*Bull!G36/(1+$A10)^Bull!G37+Bull!H32*Bull!H36/(1+$A10)^Bull!H37+Bull!I32*Bull!I36/(1+$A10)^Bull!I37+Bull!J32*Bull!J36/(1+$A10)^Bull!J37+Bull!K32*Bull!K36/(1+$A10)^Bull!K37+((Bull!$K$20*(1+D$7))*((Bull!$K$10-Bull!$K$11)*(1-Bull!$K$12)+Bull!$K$13-Bull!$K$14)-((Bull!$K$20*(1+D$7))*Bull!$K$15-Bull!$K$30))/($A10-D$7)/(1+$A10)^Bull!$K$37)+Capital!$B$32-Capital!$B$19-Capital!$B$20-(Capital!$B$26+Capital!$B$28))/(Capital!$B$18+Capital!$D$27+Capital!$D$25)),(IF((((Bull!B32*Bull!B36/(1+$A10)^Bull!B37+Bull!C32*Bull!C36/(1+$A10)^Bull!C37+Bull!D32*Bull!D36/(1+$A10)^Bull!D37+Bull!E32*Bull!E36/(1+$A10)^Bull!E37+Bull!F32*Bull!F36/(1+$A10)^Bull!F37+Bull!G32*Bull!G36/(1+$A10)^Bull!G37+Bull!H32*Bull!H36/(1+$A10)^Bull!H37+Bull!I32*Bull!I36/(1+$A10)^Bull!I37+Bull!J32*Bull!J36/(1+$A10)^Bull!J37+Bull!K32*Bull!K36/(1+$A10)^Bull!K37+((Bull!$K$20*(1+D$7))*((Bull!$K$10-Bull!$K$11)*(1-Bull!$K$12)+Bull!$K$13-Bull!$K$14)-((Bull!$K$20*(1+D$7))*Bull!$K$15-Bull!$K$30))/($A10-D$7)/(1+$A10)^Bull!$K$37)+Capital!$B$32-Capital!$B$19-Capital!$B$20-(Capital!$B$28))/(Capital!$B$18+Capital!$D$27+Capital!$D$25+Capital!$D$26))&lt;Capital!$C$28,(((Bull!B32*Bull!B36/(1+$A10)^Bull!B37+Bull!C32*Bull!C36/(1+$A10)^Bull!C37+Bull!D32*Bull!D36/(1+$A10)^Bull!D37+Bull!E32*Bull!E36/(1+$A10)^Bull!E37+Bull!F32*Bull!F36/(1+$A10)^Bull!F37+Bull!G32*Bull!G36/(1+$A10)^Bull!G37+Bull!H32*Bull!H36/(1+$A10)^Bull!H37+Bull!I32*Bull!I36/(1+$A10)^Bull!I37+Bull!J32*Bull!J36/(1+$A10)^Bull!J37+Bull!K32*Bull!K36/(1+$A10)^Bull!K37+((Bull!$K$20*(1+D$7))*((Bull!$K$10-Bull!$K$11)*(1-Bull!$K$12)+Bull!$K$13-Bull!$K$14)-((Bull!$K$20*(1+D$7))*Bull!$K$15-Bull!$K$30))/($A10-D$7)/(1+$A10)^Bull!$K$37)+Capital!$B$32-Capital!$B$19-Capital!$B$20-(Capital!$B$28))/(Capital!$B$18+Capital!$D$27+Capital!$D$25+Capital!$D$26)),(((Bull!B32*Bull!B36/(1+$A10)^Bull!B37+Bull!C32*Bull!C36/(1+$A10)^Bull!C37+Bull!D32*Bull!D36/(1+$A10)^Bull!D37+Bull!E32*Bull!E36/(1+$A10)^Bull!E37+Bull!F32*Bull!F36/(1+$A10)^Bull!F37+Bull!G32*Bull!G36/(1+$A10)^Bull!G37+Bull!H32*Bull!H36/(1+$A10)^Bull!H37+Bull!I32*Bull!I36/(1+$A10)^Bull!I37+Bull!J32*Bull!J36/(1+$A10)^Bull!J37+Bull!K32*Bull!K36/(1+$A10)^Bull!K37+((Bull!$K$20*(1+D$7))*((Bull!$K$10-Bull!$K$11)*(1-Bull!$K$12)+Bull!$K$13-Bull!$K$14)-((Bull!$K$20*(1+D$7))*Bull!$K$15-Bull!$K$30))/($A10-D$7)/(1+$A10)^Bull!$K$37)+Capital!$B$32-Capital!$B$19-Capital!$B$20-(0))/(Capital!$B$18+Capital!$D$27+Capital!$D$25+Capital!$D$26+Capital!$D$28)))))))))</f>
        <v>300.29219953016508</v>
      </c>
      <c r="E10" s="3">
        <f>IF((((Bull!B32*Bull!B36/(1+$A10)^Bull!B37+Bull!C32*Bull!C36/(1+$A10)^Bull!C37+Bull!D32*Bull!D36/(1+$A10)^Bull!D37+Bull!E32*Bull!E36/(1+$A10)^Bull!E37+Bull!F32*Bull!F36/(1+$A10)^Bull!F37+Bull!G32*Bull!G36/(1+$A10)^Bull!G37+Bull!H32*Bull!H36/(1+$A10)^Bull!H37+Bull!I32*Bull!I36/(1+$A10)^Bull!I37+Bull!J32*Bull!J36/(1+$A10)^Bull!J37+Bull!K32*Bull!K36/(1+$A10)^Bull!K37+((Bull!$K$20*(1+E$7))*((Bull!$K$10-Bull!$K$11)*(1-Bull!$K$12)+Bull!$K$13-Bull!$K$14)-((Bull!$K$20*(1+E$7))*Bull!$K$15-Bull!$K$30))/($A10-E$7)/(1+$A10)^Bull!$K$37)+Capital!$B$32-Capital!$B$19-Capital!$B$20-(Capital!$B$27+Capital!$B$25+Capital!$B$26+Capital!$B$28))/(Capital!$B$18+0))&lt;Capital!$C$27,(((Bull!B32*Bull!B36/(1+$A10)^Bull!B37+Bull!C32*Bull!C36/(1+$A10)^Bull!C37+Bull!D32*Bull!D36/(1+$A10)^Bull!D37+Bull!E32*Bull!E36/(1+$A10)^Bull!E37+Bull!F32*Bull!F36/(1+$A10)^Bull!F37+Bull!G32*Bull!G36/(1+$A10)^Bull!G37+Bull!H32*Bull!H36/(1+$A10)^Bull!H37+Bull!I32*Bull!I36/(1+$A10)^Bull!I37+Bull!J32*Bull!J36/(1+$A10)^Bull!J37+Bull!K32*Bull!K36/(1+$A10)^Bull!K37+((Bull!$K$20*(1+E$7))*((Bull!$K$10-Bull!$K$11)*(1-Bull!$K$12)+Bull!$K$13-Bull!$K$14)-((Bull!$K$20*(1+E$7))*Bull!$K$15-Bull!$K$30))/($A10-E$7)/(1+$A10)^Bull!$K$37)+Capital!$B$32-Capital!$B$19-Capital!$B$20-(Capital!$B$27+Capital!$B$25+Capital!$B$26+Capital!$B$28))/(Capital!$B$18+0)),(IF((((Bull!B32*Bull!B36/(1+$A10)^Bull!B37+Bull!C32*Bull!C36/(1+$A10)^Bull!C37+Bull!D32*Bull!D36/(1+$A10)^Bull!D37+Bull!E32*Bull!E36/(1+$A10)^Bull!E37+Bull!F32*Bull!F36/(1+$A10)^Bull!F37+Bull!G32*Bull!G36/(1+$A10)^Bull!G37+Bull!H32*Bull!H36/(1+$A10)^Bull!H37+Bull!I32*Bull!I36/(1+$A10)^Bull!I37+Bull!J32*Bull!J36/(1+$A10)^Bull!J37+Bull!K32*Bull!K36/(1+$A10)^Bull!K37+((Bull!$K$20*(1+E$7))*((Bull!$K$10-Bull!$K$11)*(1-Bull!$K$12)+Bull!$K$13-Bull!$K$14)-((Bull!$K$20*(1+E$7))*Bull!$K$15-Bull!$K$30))/($A10-E$7)/(1+$A10)^Bull!$K$37)+Capital!$B$32-Capital!$B$19-Capital!$B$20-(Capital!$B$25+Capital!$B$26+Capital!$B$28))/(Capital!$B$18+Capital!$D$27))&lt;Capital!$C$25,(((Bull!B32*Bull!B36/(1+$A10)^Bull!B37+Bull!C32*Bull!C36/(1+$A10)^Bull!C37+Bull!D32*Bull!D36/(1+$A10)^Bull!D37+Bull!E32*Bull!E36/(1+$A10)^Bull!E37+Bull!F32*Bull!F36/(1+$A10)^Bull!F37+Bull!G32*Bull!G36/(1+$A10)^Bull!G37+Bull!H32*Bull!H36/(1+$A10)^Bull!H37+Bull!I32*Bull!I36/(1+$A10)^Bull!I37+Bull!J32*Bull!J36/(1+$A10)^Bull!J37+Bull!K32*Bull!K36/(1+$A10)^Bull!K37+((Bull!$K$20*(1+E$7))*((Bull!$K$10-Bull!$K$11)*(1-Bull!$K$12)+Bull!$K$13-Bull!$K$14)-((Bull!$K$20*(1+E$7))*Bull!$K$15-Bull!$K$30))/($A10-E$7)/(1+$A10)^Bull!$K$37)+Capital!$B$32-Capital!$B$19-Capital!$B$20-(Capital!$B$25+Capital!$B$26+Capital!$B$28))/(Capital!$B$18+Capital!$D$27)),(IF((((Bull!B32*Bull!B36/(1+$A10)^Bull!B37+Bull!C32*Bull!C36/(1+$A10)^Bull!C37+Bull!D32*Bull!D36/(1+$A10)^Bull!D37+Bull!E32*Bull!E36/(1+$A10)^Bull!E37+Bull!F32*Bull!F36/(1+$A10)^Bull!F37+Bull!G32*Bull!G36/(1+$A10)^Bull!G37+Bull!H32*Bull!H36/(1+$A10)^Bull!H37+Bull!I32*Bull!I36/(1+$A10)^Bull!I37+Bull!J32*Bull!J36/(1+$A10)^Bull!J37+Bull!K32*Bull!K36/(1+$A10)^Bull!K37+((Bull!$K$20*(1+E$7))*((Bull!$K$10-Bull!$K$11)*(1-Bull!$K$12)+Bull!$K$13-Bull!$K$14)-((Bull!$K$20*(1+E$7))*Bull!$K$15-Bull!$K$30))/($A10-E$7)/(1+$A10)^Bull!$K$37)+Capital!$B$32-Capital!$B$19-Capital!$B$20-(Capital!$B$26+Capital!$B$28))/(Capital!$B$18+Capital!$D$27+Capital!$D$25))&lt;Capital!$C$26,(((Bull!B32*Bull!B36/(1+$A10)^Bull!B37+Bull!C32*Bull!C36/(1+$A10)^Bull!C37+Bull!D32*Bull!D36/(1+$A10)^Bull!D37+Bull!E32*Bull!E36/(1+$A10)^Bull!E37+Bull!F32*Bull!F36/(1+$A10)^Bull!F37+Bull!G32*Bull!G36/(1+$A10)^Bull!G37+Bull!H32*Bull!H36/(1+$A10)^Bull!H37+Bull!I32*Bull!I36/(1+$A10)^Bull!I37+Bull!J32*Bull!J36/(1+$A10)^Bull!J37+Bull!K32*Bull!K36/(1+$A10)^Bull!K37+((Bull!$K$20*(1+E$7))*((Bull!$K$10-Bull!$K$11)*(1-Bull!$K$12)+Bull!$K$13-Bull!$K$14)-((Bull!$K$20*(1+E$7))*Bull!$K$15-Bull!$K$30))/($A10-E$7)/(1+$A10)^Bull!$K$37)+Capital!$B$32-Capital!$B$19-Capital!$B$20-(Capital!$B$26+Capital!$B$28))/(Capital!$B$18+Capital!$D$27+Capital!$D$25)),(IF((((Bull!B32*Bull!B36/(1+$A10)^Bull!B37+Bull!C32*Bull!C36/(1+$A10)^Bull!C37+Bull!D32*Bull!D36/(1+$A10)^Bull!D37+Bull!E32*Bull!E36/(1+$A10)^Bull!E37+Bull!F32*Bull!F36/(1+$A10)^Bull!F37+Bull!G32*Bull!G36/(1+$A10)^Bull!G37+Bull!H32*Bull!H36/(1+$A10)^Bull!H37+Bull!I32*Bull!I36/(1+$A10)^Bull!I37+Bull!J32*Bull!J36/(1+$A10)^Bull!J37+Bull!K32*Bull!K36/(1+$A10)^Bull!K37+((Bull!$K$20*(1+E$7))*((Bull!$K$10-Bull!$K$11)*(1-Bull!$K$12)+Bull!$K$13-Bull!$K$14)-((Bull!$K$20*(1+E$7))*Bull!$K$15-Bull!$K$30))/($A10-E$7)/(1+$A10)^Bull!$K$37)+Capital!$B$32-Capital!$B$19-Capital!$B$20-(Capital!$B$28))/(Capital!$B$18+Capital!$D$27+Capital!$D$25+Capital!$D$26))&lt;Capital!$C$28,(((Bull!B32*Bull!B36/(1+$A10)^Bull!B37+Bull!C32*Bull!C36/(1+$A10)^Bull!C37+Bull!D32*Bull!D36/(1+$A10)^Bull!D37+Bull!E32*Bull!E36/(1+$A10)^Bull!E37+Bull!F32*Bull!F36/(1+$A10)^Bull!F37+Bull!G32*Bull!G36/(1+$A10)^Bull!G37+Bull!H32*Bull!H36/(1+$A10)^Bull!H37+Bull!I32*Bull!I36/(1+$A10)^Bull!I37+Bull!J32*Bull!J36/(1+$A10)^Bull!J37+Bull!K32*Bull!K36/(1+$A10)^Bull!K37+((Bull!$K$20*(1+E$7))*((Bull!$K$10-Bull!$K$11)*(1-Bull!$K$12)+Bull!$K$13-Bull!$K$14)-((Bull!$K$20*(1+E$7))*Bull!$K$15-Bull!$K$30))/($A10-E$7)/(1+$A10)^Bull!$K$37)+Capital!$B$32-Capital!$B$19-Capital!$B$20-(Capital!$B$28))/(Capital!$B$18+Capital!$D$27+Capital!$D$25+Capital!$D$26)),(((Bull!B32*Bull!B36/(1+$A10)^Bull!B37+Bull!C32*Bull!C36/(1+$A10)^Bull!C37+Bull!D32*Bull!D36/(1+$A10)^Bull!D37+Bull!E32*Bull!E36/(1+$A10)^Bull!E37+Bull!F32*Bull!F36/(1+$A10)^Bull!F37+Bull!G32*Bull!G36/(1+$A10)^Bull!G37+Bull!H32*Bull!H36/(1+$A10)^Bull!H37+Bull!I32*Bull!I36/(1+$A10)^Bull!I37+Bull!J32*Bull!J36/(1+$A10)^Bull!J37+Bull!K32*Bull!K36/(1+$A10)^Bull!K37+((Bull!$K$20*(1+E$7))*((Bull!$K$10-Bull!$K$11)*(1-Bull!$K$12)+Bull!$K$13-Bull!$K$14)-((Bull!$K$20*(1+E$7))*Bull!$K$15-Bull!$K$30))/($A10-E$7)/(1+$A10)^Bull!$K$37)+Capital!$B$32-Capital!$B$19-Capital!$B$20-(0))/(Capital!$B$18+Capital!$D$27+Capital!$D$25+Capital!$D$26+Capital!$D$28)))))))))</f>
        <v>305.24549812842423</v>
      </c>
      <c r="F10" s="3">
        <f>IF((((Bull!B32*Bull!B36/(1+$A10)^Bull!B37+Bull!C32*Bull!C36/(1+$A10)^Bull!C37+Bull!D32*Bull!D36/(1+$A10)^Bull!D37+Bull!E32*Bull!E36/(1+$A10)^Bull!E37+Bull!F32*Bull!F36/(1+$A10)^Bull!F37+Bull!G32*Bull!G36/(1+$A10)^Bull!G37+Bull!H32*Bull!H36/(1+$A10)^Bull!H37+Bull!I32*Bull!I36/(1+$A10)^Bull!I37+Bull!J32*Bull!J36/(1+$A10)^Bull!J37+Bull!K32*Bull!K36/(1+$A10)^Bull!K37+((Bull!$K$20*(1+F$7))*((Bull!$K$10-Bull!$K$11)*(1-Bull!$K$12)+Bull!$K$13-Bull!$K$14)-((Bull!$K$20*(1+F$7))*Bull!$K$15-Bull!$K$30))/($A10-F$7)/(1+$A10)^Bull!$K$37)+Capital!$B$32-Capital!$B$19-Capital!$B$20-(Capital!$B$27+Capital!$B$25+Capital!$B$26+Capital!$B$28))/(Capital!$B$18+0))&lt;Capital!$C$27,(((Bull!B32*Bull!B36/(1+$A10)^Bull!B37+Bull!C32*Bull!C36/(1+$A10)^Bull!C37+Bull!D32*Bull!D36/(1+$A10)^Bull!D37+Bull!E32*Bull!E36/(1+$A10)^Bull!E37+Bull!F32*Bull!F36/(1+$A10)^Bull!F37+Bull!G32*Bull!G36/(1+$A10)^Bull!G37+Bull!H32*Bull!H36/(1+$A10)^Bull!H37+Bull!I32*Bull!I36/(1+$A10)^Bull!I37+Bull!J32*Bull!J36/(1+$A10)^Bull!J37+Bull!K32*Bull!K36/(1+$A10)^Bull!K37+((Bull!$K$20*(1+F$7))*((Bull!$K$10-Bull!$K$11)*(1-Bull!$K$12)+Bull!$K$13-Bull!$K$14)-((Bull!$K$20*(1+F$7))*Bull!$K$15-Bull!$K$30))/($A10-F$7)/(1+$A10)^Bull!$K$37)+Capital!$B$32-Capital!$B$19-Capital!$B$20-(Capital!$B$27+Capital!$B$25+Capital!$B$26+Capital!$B$28))/(Capital!$B$18+0)),(IF((((Bull!B32*Bull!B36/(1+$A10)^Bull!B37+Bull!C32*Bull!C36/(1+$A10)^Bull!C37+Bull!D32*Bull!D36/(1+$A10)^Bull!D37+Bull!E32*Bull!E36/(1+$A10)^Bull!E37+Bull!F32*Bull!F36/(1+$A10)^Bull!F37+Bull!G32*Bull!G36/(1+$A10)^Bull!G37+Bull!H32*Bull!H36/(1+$A10)^Bull!H37+Bull!I32*Bull!I36/(1+$A10)^Bull!I37+Bull!J32*Bull!J36/(1+$A10)^Bull!J37+Bull!K32*Bull!K36/(1+$A10)^Bull!K37+((Bull!$K$20*(1+F$7))*((Bull!$K$10-Bull!$K$11)*(1-Bull!$K$12)+Bull!$K$13-Bull!$K$14)-((Bull!$K$20*(1+F$7))*Bull!$K$15-Bull!$K$30))/($A10-F$7)/(1+$A10)^Bull!$K$37)+Capital!$B$32-Capital!$B$19-Capital!$B$20-(Capital!$B$25+Capital!$B$26+Capital!$B$28))/(Capital!$B$18+Capital!$D$27))&lt;Capital!$C$25,(((Bull!B32*Bull!B36/(1+$A10)^Bull!B37+Bull!C32*Bull!C36/(1+$A10)^Bull!C37+Bull!D32*Bull!D36/(1+$A10)^Bull!D37+Bull!E32*Bull!E36/(1+$A10)^Bull!E37+Bull!F32*Bull!F36/(1+$A10)^Bull!F37+Bull!G32*Bull!G36/(1+$A10)^Bull!G37+Bull!H32*Bull!H36/(1+$A10)^Bull!H37+Bull!I32*Bull!I36/(1+$A10)^Bull!I37+Bull!J32*Bull!J36/(1+$A10)^Bull!J37+Bull!K32*Bull!K36/(1+$A10)^Bull!K37+((Bull!$K$20*(1+F$7))*((Bull!$K$10-Bull!$K$11)*(1-Bull!$K$12)+Bull!$K$13-Bull!$K$14)-((Bull!$K$20*(1+F$7))*Bull!$K$15-Bull!$K$30))/($A10-F$7)/(1+$A10)^Bull!$K$37)+Capital!$B$32-Capital!$B$19-Capital!$B$20-(Capital!$B$25+Capital!$B$26+Capital!$B$28))/(Capital!$B$18+Capital!$D$27)),(IF((((Bull!B32*Bull!B36/(1+$A10)^Bull!B37+Bull!C32*Bull!C36/(1+$A10)^Bull!C37+Bull!D32*Bull!D36/(1+$A10)^Bull!D37+Bull!E32*Bull!E36/(1+$A10)^Bull!E37+Bull!F32*Bull!F36/(1+$A10)^Bull!F37+Bull!G32*Bull!G36/(1+$A10)^Bull!G37+Bull!H32*Bull!H36/(1+$A10)^Bull!H37+Bull!I32*Bull!I36/(1+$A10)^Bull!I37+Bull!J32*Bull!J36/(1+$A10)^Bull!J37+Bull!K32*Bull!K36/(1+$A10)^Bull!K37+((Bull!$K$20*(1+F$7))*((Bull!$K$10-Bull!$K$11)*(1-Bull!$K$12)+Bull!$K$13-Bull!$K$14)-((Bull!$K$20*(1+F$7))*Bull!$K$15-Bull!$K$30))/($A10-F$7)/(1+$A10)^Bull!$K$37)+Capital!$B$32-Capital!$B$19-Capital!$B$20-(Capital!$B$26+Capital!$B$28))/(Capital!$B$18+Capital!$D$27+Capital!$D$25))&lt;Capital!$C$26,(((Bull!B32*Bull!B36/(1+$A10)^Bull!B37+Bull!C32*Bull!C36/(1+$A10)^Bull!C37+Bull!D32*Bull!D36/(1+$A10)^Bull!D37+Bull!E32*Bull!E36/(1+$A10)^Bull!E37+Bull!F32*Bull!F36/(1+$A10)^Bull!F37+Bull!G32*Bull!G36/(1+$A10)^Bull!G37+Bull!H32*Bull!H36/(1+$A10)^Bull!H37+Bull!I32*Bull!I36/(1+$A10)^Bull!I37+Bull!J32*Bull!J36/(1+$A10)^Bull!J37+Bull!K32*Bull!K36/(1+$A10)^Bull!K37+((Bull!$K$20*(1+F$7))*((Bull!$K$10-Bull!$K$11)*(1-Bull!$K$12)+Bull!$K$13-Bull!$K$14)-((Bull!$K$20*(1+F$7))*Bull!$K$15-Bull!$K$30))/($A10-F$7)/(1+$A10)^Bull!$K$37)+Capital!$B$32-Capital!$B$19-Capital!$B$20-(Capital!$B$26+Capital!$B$28))/(Capital!$B$18+Capital!$D$27+Capital!$D$25)),(IF((((Bull!B32*Bull!B36/(1+$A10)^Bull!B37+Bull!C32*Bull!C36/(1+$A10)^Bull!C37+Bull!D32*Bull!D36/(1+$A10)^Bull!D37+Bull!E32*Bull!E36/(1+$A10)^Bull!E37+Bull!F32*Bull!F36/(1+$A10)^Bull!F37+Bull!G32*Bull!G36/(1+$A10)^Bull!G37+Bull!H32*Bull!H36/(1+$A10)^Bull!H37+Bull!I32*Bull!I36/(1+$A10)^Bull!I37+Bull!J32*Bull!J36/(1+$A10)^Bull!J37+Bull!K32*Bull!K36/(1+$A10)^Bull!K37+((Bull!$K$20*(1+F$7))*((Bull!$K$10-Bull!$K$11)*(1-Bull!$K$12)+Bull!$K$13-Bull!$K$14)-((Bull!$K$20*(1+F$7))*Bull!$K$15-Bull!$K$30))/($A10-F$7)/(1+$A10)^Bull!$K$37)+Capital!$B$32-Capital!$B$19-Capital!$B$20-(Capital!$B$28))/(Capital!$B$18+Capital!$D$27+Capital!$D$25+Capital!$D$26))&lt;Capital!$C$28,(((Bull!B32*Bull!B36/(1+$A10)^Bull!B37+Bull!C32*Bull!C36/(1+$A10)^Bull!C37+Bull!D32*Bull!D36/(1+$A10)^Bull!D37+Bull!E32*Bull!E36/(1+$A10)^Bull!E37+Bull!F32*Bull!F36/(1+$A10)^Bull!F37+Bull!G32*Bull!G36/(1+$A10)^Bull!G37+Bull!H32*Bull!H36/(1+$A10)^Bull!H37+Bull!I32*Bull!I36/(1+$A10)^Bull!I37+Bull!J32*Bull!J36/(1+$A10)^Bull!J37+Bull!K32*Bull!K36/(1+$A10)^Bull!K37+((Bull!$K$20*(1+F$7))*((Bull!$K$10-Bull!$K$11)*(1-Bull!$K$12)+Bull!$K$13-Bull!$K$14)-((Bull!$K$20*(1+F$7))*Bull!$K$15-Bull!$K$30))/($A10-F$7)/(1+$A10)^Bull!$K$37)+Capital!$B$32-Capital!$B$19-Capital!$B$20-(Capital!$B$28))/(Capital!$B$18+Capital!$D$27+Capital!$D$25+Capital!$D$26)),(((Bull!B32*Bull!B36/(1+$A10)^Bull!B37+Bull!C32*Bull!C36/(1+$A10)^Bull!C37+Bull!D32*Bull!D36/(1+$A10)^Bull!D37+Bull!E32*Bull!E36/(1+$A10)^Bull!E37+Bull!F32*Bull!F36/(1+$A10)^Bull!F37+Bull!G32*Bull!G36/(1+$A10)^Bull!G37+Bull!H32*Bull!H36/(1+$A10)^Bull!H37+Bull!I32*Bull!I36/(1+$A10)^Bull!I37+Bull!J32*Bull!J36/(1+$A10)^Bull!J37+Bull!K32*Bull!K36/(1+$A10)^Bull!K37+((Bull!$K$20*(1+F$7))*((Bull!$K$10-Bull!$K$11)*(1-Bull!$K$12)+Bull!$K$13-Bull!$K$14)-((Bull!$K$20*(1+F$7))*Bull!$K$15-Bull!$K$30))/($A10-F$7)/(1+$A10)^Bull!$K$37)+Capital!$B$32-Capital!$B$19-Capital!$B$20-(0))/(Capital!$B$18+Capital!$D$27+Capital!$D$25+Capital!$D$26+Capital!$D$28)))))))))</f>
        <v>310.69540879456065</v>
      </c>
    </row>
    <row r="11" spans="1:11" ht="15.5" x14ac:dyDescent="0.35">
      <c r="A11" s="7">
        <v>0.14974180892202951</v>
      </c>
      <c r="B11" s="3">
        <f>IF((((Bull!B32*Bull!B36/(1+$A11)^Bull!B37+Bull!C32*Bull!C36/(1+$A11)^Bull!C37+Bull!D32*Bull!D36/(1+$A11)^Bull!D37+Bull!E32*Bull!E36/(1+$A11)^Bull!E37+Bull!F32*Bull!F36/(1+$A11)^Bull!F37+Bull!G32*Bull!G36/(1+$A11)^Bull!G37+Bull!H32*Bull!H36/(1+$A11)^Bull!H37+Bull!I32*Bull!I36/(1+$A11)^Bull!I37+Bull!J32*Bull!J36/(1+$A11)^Bull!J37+Bull!K32*Bull!K36/(1+$A11)^Bull!K37+((Bull!$K$20*(1+B$7))*((Bull!$K$10-Bull!$K$11)*(1-Bull!$K$12)+Bull!$K$13-Bull!$K$14)-((Bull!$K$20*(1+B$7))*Bull!$K$15-Bull!$K$30))/($A11-B$7)/(1+$A11)^Bull!$K$37)+Capital!$B$32-Capital!$B$19-Capital!$B$20-(Capital!$B$27+Capital!$B$25+Capital!$B$26+Capital!$B$28))/(Capital!$B$18+0))&lt;Capital!$C$27,(((Bull!B32*Bull!B36/(1+$A11)^Bull!B37+Bull!C32*Bull!C36/(1+$A11)^Bull!C37+Bull!D32*Bull!D36/(1+$A11)^Bull!D37+Bull!E32*Bull!E36/(1+$A11)^Bull!E37+Bull!F32*Bull!F36/(1+$A11)^Bull!F37+Bull!G32*Bull!G36/(1+$A11)^Bull!G37+Bull!H32*Bull!H36/(1+$A11)^Bull!H37+Bull!I32*Bull!I36/(1+$A11)^Bull!I37+Bull!J32*Bull!J36/(1+$A11)^Bull!J37+Bull!K32*Bull!K36/(1+$A11)^Bull!K37+((Bull!$K$20*(1+B$7))*((Bull!$K$10-Bull!$K$11)*(1-Bull!$K$12)+Bull!$K$13-Bull!$K$14)-((Bull!$K$20*(1+B$7))*Bull!$K$15-Bull!$K$30))/($A11-B$7)/(1+$A11)^Bull!$K$37)+Capital!$B$32-Capital!$B$19-Capital!$B$20-(Capital!$B$27+Capital!$B$25+Capital!$B$26+Capital!$B$28))/(Capital!$B$18+0)),(IF((((Bull!B32*Bull!B36/(1+$A11)^Bull!B37+Bull!C32*Bull!C36/(1+$A11)^Bull!C37+Bull!D32*Bull!D36/(1+$A11)^Bull!D37+Bull!E32*Bull!E36/(1+$A11)^Bull!E37+Bull!F32*Bull!F36/(1+$A11)^Bull!F37+Bull!G32*Bull!G36/(1+$A11)^Bull!G37+Bull!H32*Bull!H36/(1+$A11)^Bull!H37+Bull!I32*Bull!I36/(1+$A11)^Bull!I37+Bull!J32*Bull!J36/(1+$A11)^Bull!J37+Bull!K32*Bull!K36/(1+$A11)^Bull!K37+((Bull!$K$20*(1+B$7))*((Bull!$K$10-Bull!$K$11)*(1-Bull!$K$12)+Bull!$K$13-Bull!$K$14)-((Bull!$K$20*(1+B$7))*Bull!$K$15-Bull!$K$30))/($A11-B$7)/(1+$A11)^Bull!$K$37)+Capital!$B$32-Capital!$B$19-Capital!$B$20-(Capital!$B$25+Capital!$B$26+Capital!$B$28))/(Capital!$B$18+Capital!$D$27))&lt;Capital!$C$25,(((Bull!B32*Bull!B36/(1+$A11)^Bull!B37+Bull!C32*Bull!C36/(1+$A11)^Bull!C37+Bull!D32*Bull!D36/(1+$A11)^Bull!D37+Bull!E32*Bull!E36/(1+$A11)^Bull!E37+Bull!F32*Bull!F36/(1+$A11)^Bull!F37+Bull!G32*Bull!G36/(1+$A11)^Bull!G37+Bull!H32*Bull!H36/(1+$A11)^Bull!H37+Bull!I32*Bull!I36/(1+$A11)^Bull!I37+Bull!J32*Bull!J36/(1+$A11)^Bull!J37+Bull!K32*Bull!K36/(1+$A11)^Bull!K37+((Bull!$K$20*(1+B$7))*((Bull!$K$10-Bull!$K$11)*(1-Bull!$K$12)+Bull!$K$13-Bull!$K$14)-((Bull!$K$20*(1+B$7))*Bull!$K$15-Bull!$K$30))/($A11-B$7)/(1+$A11)^Bull!$K$37)+Capital!$B$32-Capital!$B$19-Capital!$B$20-(Capital!$B$25+Capital!$B$26+Capital!$B$28))/(Capital!$B$18+Capital!$D$27)),(IF((((Bull!B32*Bull!B36/(1+$A11)^Bull!B37+Bull!C32*Bull!C36/(1+$A11)^Bull!C37+Bull!D32*Bull!D36/(1+$A11)^Bull!D37+Bull!E32*Bull!E36/(1+$A11)^Bull!E37+Bull!F32*Bull!F36/(1+$A11)^Bull!F37+Bull!G32*Bull!G36/(1+$A11)^Bull!G37+Bull!H32*Bull!H36/(1+$A11)^Bull!H37+Bull!I32*Bull!I36/(1+$A11)^Bull!I37+Bull!J32*Bull!J36/(1+$A11)^Bull!J37+Bull!K32*Bull!K36/(1+$A11)^Bull!K37+((Bull!$K$20*(1+B$7))*((Bull!$K$10-Bull!$K$11)*(1-Bull!$K$12)+Bull!$K$13-Bull!$K$14)-((Bull!$K$20*(1+B$7))*Bull!$K$15-Bull!$K$30))/($A11-B$7)/(1+$A11)^Bull!$K$37)+Capital!$B$32-Capital!$B$19-Capital!$B$20-(Capital!$B$26+Capital!$B$28))/(Capital!$B$18+Capital!$D$27+Capital!$D$25))&lt;Capital!$C$26,(((Bull!B32*Bull!B36/(1+$A11)^Bull!B37+Bull!C32*Bull!C36/(1+$A11)^Bull!C37+Bull!D32*Bull!D36/(1+$A11)^Bull!D37+Bull!E32*Bull!E36/(1+$A11)^Bull!E37+Bull!F32*Bull!F36/(1+$A11)^Bull!F37+Bull!G32*Bull!G36/(1+$A11)^Bull!G37+Bull!H32*Bull!H36/(1+$A11)^Bull!H37+Bull!I32*Bull!I36/(1+$A11)^Bull!I37+Bull!J32*Bull!J36/(1+$A11)^Bull!J37+Bull!K32*Bull!K36/(1+$A11)^Bull!K37+((Bull!$K$20*(1+B$7))*((Bull!$K$10-Bull!$K$11)*(1-Bull!$K$12)+Bull!$K$13-Bull!$K$14)-((Bull!$K$20*(1+B$7))*Bull!$K$15-Bull!$K$30))/($A11-B$7)/(1+$A11)^Bull!$K$37)+Capital!$B$32-Capital!$B$19-Capital!$B$20-(Capital!$B$26+Capital!$B$28))/(Capital!$B$18+Capital!$D$27+Capital!$D$25)),(IF((((Bull!B32*Bull!B36/(1+$A11)^Bull!B37+Bull!C32*Bull!C36/(1+$A11)^Bull!C37+Bull!D32*Bull!D36/(1+$A11)^Bull!D37+Bull!E32*Bull!E36/(1+$A11)^Bull!E37+Bull!F32*Bull!F36/(1+$A11)^Bull!F37+Bull!G32*Bull!G36/(1+$A11)^Bull!G37+Bull!H32*Bull!H36/(1+$A11)^Bull!H37+Bull!I32*Bull!I36/(1+$A11)^Bull!I37+Bull!J32*Bull!J36/(1+$A11)^Bull!J37+Bull!K32*Bull!K36/(1+$A11)^Bull!K37+((Bull!$K$20*(1+B$7))*((Bull!$K$10-Bull!$K$11)*(1-Bull!$K$12)+Bull!$K$13-Bull!$K$14)-((Bull!$K$20*(1+B$7))*Bull!$K$15-Bull!$K$30))/($A11-B$7)/(1+$A11)^Bull!$K$37)+Capital!$B$32-Capital!$B$19-Capital!$B$20-(Capital!$B$28))/(Capital!$B$18+Capital!$D$27+Capital!$D$25+Capital!$D$26))&lt;Capital!$C$28,(((Bull!B32*Bull!B36/(1+$A11)^Bull!B37+Bull!C32*Bull!C36/(1+$A11)^Bull!C37+Bull!D32*Bull!D36/(1+$A11)^Bull!D37+Bull!E32*Bull!E36/(1+$A11)^Bull!E37+Bull!F32*Bull!F36/(1+$A11)^Bull!F37+Bull!G32*Bull!G36/(1+$A11)^Bull!G37+Bull!H32*Bull!H36/(1+$A11)^Bull!H37+Bull!I32*Bull!I36/(1+$A11)^Bull!I37+Bull!J32*Bull!J36/(1+$A11)^Bull!J37+Bull!K32*Bull!K36/(1+$A11)^Bull!K37+((Bull!$K$20*(1+B$7))*((Bull!$K$10-Bull!$K$11)*(1-Bull!$K$12)+Bull!$K$13-Bull!$K$14)-((Bull!$K$20*(1+B$7))*Bull!$K$15-Bull!$K$30))/($A11-B$7)/(1+$A11)^Bull!$K$37)+Capital!$B$32-Capital!$B$19-Capital!$B$20-(Capital!$B$28))/(Capital!$B$18+Capital!$D$27+Capital!$D$25+Capital!$D$26)),(((Bull!B32*Bull!B36/(1+$A11)^Bull!B37+Bull!C32*Bull!C36/(1+$A11)^Bull!C37+Bull!D32*Bull!D36/(1+$A11)^Bull!D37+Bull!E32*Bull!E36/(1+$A11)^Bull!E37+Bull!F32*Bull!F36/(1+$A11)^Bull!F37+Bull!G32*Bull!G36/(1+$A11)^Bull!G37+Bull!H32*Bull!H36/(1+$A11)^Bull!H37+Bull!I32*Bull!I36/(1+$A11)^Bull!I37+Bull!J32*Bull!J36/(1+$A11)^Bull!J37+Bull!K32*Bull!K36/(1+$A11)^Bull!K37+((Bull!$K$20*(1+B$7))*((Bull!$K$10-Bull!$K$11)*(1-Bull!$K$12)+Bull!$K$13-Bull!$K$14)-((Bull!$K$20*(1+B$7))*Bull!$K$15-Bull!$K$30))/($A11-B$7)/(1+$A11)^Bull!$K$37)+Capital!$B$32-Capital!$B$19-Capital!$B$20-(0))/(Capital!$B$18+Capital!$D$27+Capital!$D$25+Capital!$D$26+Capital!$D$28)))))))))</f>
        <v>269.15743759494933</v>
      </c>
      <c r="C11" s="3">
        <f>IF((((Bull!B32*Bull!B36/(1+$A11)^Bull!B37+Bull!C32*Bull!C36/(1+$A11)^Bull!C37+Bull!D32*Bull!D36/(1+$A11)^Bull!D37+Bull!E32*Bull!E36/(1+$A11)^Bull!E37+Bull!F32*Bull!F36/(1+$A11)^Bull!F37+Bull!G32*Bull!G36/(1+$A11)^Bull!G37+Bull!H32*Bull!H36/(1+$A11)^Bull!H37+Bull!I32*Bull!I36/(1+$A11)^Bull!I37+Bull!J32*Bull!J36/(1+$A11)^Bull!J37+Bull!K32*Bull!K36/(1+$A11)^Bull!K37+((Bull!$K$20*(1+C$7))*((Bull!$K$10-Bull!$K$11)*(1-Bull!$K$12)+Bull!$K$13-Bull!$K$14)-((Bull!$K$20*(1+C$7))*Bull!$K$15-Bull!$K$30))/($A11-C$7)/(1+$A11)^Bull!$K$37)+Capital!$B$32-Capital!$B$19-Capital!$B$20-(Capital!$B$27+Capital!$B$25+Capital!$B$26+Capital!$B$28))/(Capital!$B$18+0))&lt;Capital!$C$27,(((Bull!B32*Bull!B36/(1+$A11)^Bull!B37+Bull!C32*Bull!C36/(1+$A11)^Bull!C37+Bull!D32*Bull!D36/(1+$A11)^Bull!D37+Bull!E32*Bull!E36/(1+$A11)^Bull!E37+Bull!F32*Bull!F36/(1+$A11)^Bull!F37+Bull!G32*Bull!G36/(1+$A11)^Bull!G37+Bull!H32*Bull!H36/(1+$A11)^Bull!H37+Bull!I32*Bull!I36/(1+$A11)^Bull!I37+Bull!J32*Bull!J36/(1+$A11)^Bull!J37+Bull!K32*Bull!K36/(1+$A11)^Bull!K37+((Bull!$K$20*(1+C$7))*((Bull!$K$10-Bull!$K$11)*(1-Bull!$K$12)+Bull!$K$13-Bull!$K$14)-((Bull!$K$20*(1+C$7))*Bull!$K$15-Bull!$K$30))/($A11-C$7)/(1+$A11)^Bull!$K$37)+Capital!$B$32-Capital!$B$19-Capital!$B$20-(Capital!$B$27+Capital!$B$25+Capital!$B$26+Capital!$B$28))/(Capital!$B$18+0)),(IF((((Bull!B32*Bull!B36/(1+$A11)^Bull!B37+Bull!C32*Bull!C36/(1+$A11)^Bull!C37+Bull!D32*Bull!D36/(1+$A11)^Bull!D37+Bull!E32*Bull!E36/(1+$A11)^Bull!E37+Bull!F32*Bull!F36/(1+$A11)^Bull!F37+Bull!G32*Bull!G36/(1+$A11)^Bull!G37+Bull!H32*Bull!H36/(1+$A11)^Bull!H37+Bull!I32*Bull!I36/(1+$A11)^Bull!I37+Bull!J32*Bull!J36/(1+$A11)^Bull!J37+Bull!K32*Bull!K36/(1+$A11)^Bull!K37+((Bull!$K$20*(1+C$7))*((Bull!$K$10-Bull!$K$11)*(1-Bull!$K$12)+Bull!$K$13-Bull!$K$14)-((Bull!$K$20*(1+C$7))*Bull!$K$15-Bull!$K$30))/($A11-C$7)/(1+$A11)^Bull!$K$37)+Capital!$B$32-Capital!$B$19-Capital!$B$20-(Capital!$B$25+Capital!$B$26+Capital!$B$28))/(Capital!$B$18+Capital!$D$27))&lt;Capital!$C$25,(((Bull!B32*Bull!B36/(1+$A11)^Bull!B37+Bull!C32*Bull!C36/(1+$A11)^Bull!C37+Bull!D32*Bull!D36/(1+$A11)^Bull!D37+Bull!E32*Bull!E36/(1+$A11)^Bull!E37+Bull!F32*Bull!F36/(1+$A11)^Bull!F37+Bull!G32*Bull!G36/(1+$A11)^Bull!G37+Bull!H32*Bull!H36/(1+$A11)^Bull!H37+Bull!I32*Bull!I36/(1+$A11)^Bull!I37+Bull!J32*Bull!J36/(1+$A11)^Bull!J37+Bull!K32*Bull!K36/(1+$A11)^Bull!K37+((Bull!$K$20*(1+C$7))*((Bull!$K$10-Bull!$K$11)*(1-Bull!$K$12)+Bull!$K$13-Bull!$K$14)-((Bull!$K$20*(1+C$7))*Bull!$K$15-Bull!$K$30))/($A11-C$7)/(1+$A11)^Bull!$K$37)+Capital!$B$32-Capital!$B$19-Capital!$B$20-(Capital!$B$25+Capital!$B$26+Capital!$B$28))/(Capital!$B$18+Capital!$D$27)),(IF((((Bull!B32*Bull!B36/(1+$A11)^Bull!B37+Bull!C32*Bull!C36/(1+$A11)^Bull!C37+Bull!D32*Bull!D36/(1+$A11)^Bull!D37+Bull!E32*Bull!E36/(1+$A11)^Bull!E37+Bull!F32*Bull!F36/(1+$A11)^Bull!F37+Bull!G32*Bull!G36/(1+$A11)^Bull!G37+Bull!H32*Bull!H36/(1+$A11)^Bull!H37+Bull!I32*Bull!I36/(1+$A11)^Bull!I37+Bull!J32*Bull!J36/(1+$A11)^Bull!J37+Bull!K32*Bull!K36/(1+$A11)^Bull!K37+((Bull!$K$20*(1+C$7))*((Bull!$K$10-Bull!$K$11)*(1-Bull!$K$12)+Bull!$K$13-Bull!$K$14)-((Bull!$K$20*(1+C$7))*Bull!$K$15-Bull!$K$30))/($A11-C$7)/(1+$A11)^Bull!$K$37)+Capital!$B$32-Capital!$B$19-Capital!$B$20-(Capital!$B$26+Capital!$B$28))/(Capital!$B$18+Capital!$D$27+Capital!$D$25))&lt;Capital!$C$26,(((Bull!B32*Bull!B36/(1+$A11)^Bull!B37+Bull!C32*Bull!C36/(1+$A11)^Bull!C37+Bull!D32*Bull!D36/(1+$A11)^Bull!D37+Bull!E32*Bull!E36/(1+$A11)^Bull!E37+Bull!F32*Bull!F36/(1+$A11)^Bull!F37+Bull!G32*Bull!G36/(1+$A11)^Bull!G37+Bull!H32*Bull!H36/(1+$A11)^Bull!H37+Bull!I32*Bull!I36/(1+$A11)^Bull!I37+Bull!J32*Bull!J36/(1+$A11)^Bull!J37+Bull!K32*Bull!K36/(1+$A11)^Bull!K37+((Bull!$K$20*(1+C$7))*((Bull!$K$10-Bull!$K$11)*(1-Bull!$K$12)+Bull!$K$13-Bull!$K$14)-((Bull!$K$20*(1+C$7))*Bull!$K$15-Bull!$K$30))/($A11-C$7)/(1+$A11)^Bull!$K$37)+Capital!$B$32-Capital!$B$19-Capital!$B$20-(Capital!$B$26+Capital!$B$28))/(Capital!$B$18+Capital!$D$27+Capital!$D$25)),(IF((((Bull!B32*Bull!B36/(1+$A11)^Bull!B37+Bull!C32*Bull!C36/(1+$A11)^Bull!C37+Bull!D32*Bull!D36/(1+$A11)^Bull!D37+Bull!E32*Bull!E36/(1+$A11)^Bull!E37+Bull!F32*Bull!F36/(1+$A11)^Bull!F37+Bull!G32*Bull!G36/(1+$A11)^Bull!G37+Bull!H32*Bull!H36/(1+$A11)^Bull!H37+Bull!I32*Bull!I36/(1+$A11)^Bull!I37+Bull!J32*Bull!J36/(1+$A11)^Bull!J37+Bull!K32*Bull!K36/(1+$A11)^Bull!K37+((Bull!$K$20*(1+C$7))*((Bull!$K$10-Bull!$K$11)*(1-Bull!$K$12)+Bull!$K$13-Bull!$K$14)-((Bull!$K$20*(1+C$7))*Bull!$K$15-Bull!$K$30))/($A11-C$7)/(1+$A11)^Bull!$K$37)+Capital!$B$32-Capital!$B$19-Capital!$B$20-(Capital!$B$28))/(Capital!$B$18+Capital!$D$27+Capital!$D$25+Capital!$D$26))&lt;Capital!$C$28,(((Bull!B32*Bull!B36/(1+$A11)^Bull!B37+Bull!C32*Bull!C36/(1+$A11)^Bull!C37+Bull!D32*Bull!D36/(1+$A11)^Bull!D37+Bull!E32*Bull!E36/(1+$A11)^Bull!E37+Bull!F32*Bull!F36/(1+$A11)^Bull!F37+Bull!G32*Bull!G36/(1+$A11)^Bull!G37+Bull!H32*Bull!H36/(1+$A11)^Bull!H37+Bull!I32*Bull!I36/(1+$A11)^Bull!I37+Bull!J32*Bull!J36/(1+$A11)^Bull!J37+Bull!K32*Bull!K36/(1+$A11)^Bull!K37+((Bull!$K$20*(1+C$7))*((Bull!$K$10-Bull!$K$11)*(1-Bull!$K$12)+Bull!$K$13-Bull!$K$14)-((Bull!$K$20*(1+C$7))*Bull!$K$15-Bull!$K$30))/($A11-C$7)/(1+$A11)^Bull!$K$37)+Capital!$B$32-Capital!$B$19-Capital!$B$20-(Capital!$B$28))/(Capital!$B$18+Capital!$D$27+Capital!$D$25+Capital!$D$26)),(((Bull!B32*Bull!B36/(1+$A11)^Bull!B37+Bull!C32*Bull!C36/(1+$A11)^Bull!C37+Bull!D32*Bull!D36/(1+$A11)^Bull!D37+Bull!E32*Bull!E36/(1+$A11)^Bull!E37+Bull!F32*Bull!F36/(1+$A11)^Bull!F37+Bull!G32*Bull!G36/(1+$A11)^Bull!G37+Bull!H32*Bull!H36/(1+$A11)^Bull!H37+Bull!I32*Bull!I36/(1+$A11)^Bull!I37+Bull!J32*Bull!J36/(1+$A11)^Bull!J37+Bull!K32*Bull!K36/(1+$A11)^Bull!K37+((Bull!$K$20*(1+C$7))*((Bull!$K$10-Bull!$K$11)*(1-Bull!$K$12)+Bull!$K$13-Bull!$K$14)-((Bull!$K$20*(1+C$7))*Bull!$K$15-Bull!$K$30))/($A11-C$7)/(1+$A11)^Bull!$K$37)+Capital!$B$32-Capital!$B$19-Capital!$B$20-(0))/(Capital!$B$18+Capital!$D$27+Capital!$D$25+Capital!$D$26+Capital!$D$28)))))))))</f>
        <v>272.38329072549112</v>
      </c>
      <c r="D11" s="3">
        <f>IF((((Bull!B32*Bull!B36/(1+$A11)^Bull!B37+Bull!C32*Bull!C36/(1+$A11)^Bull!C37+Bull!D32*Bull!D36/(1+$A11)^Bull!D37+Bull!E32*Bull!E36/(1+$A11)^Bull!E37+Bull!F32*Bull!F36/(1+$A11)^Bull!F37+Bull!G32*Bull!G36/(1+$A11)^Bull!G37+Bull!H32*Bull!H36/(1+$A11)^Bull!H37+Bull!I32*Bull!I36/(1+$A11)^Bull!I37+Bull!J32*Bull!J36/(1+$A11)^Bull!J37+Bull!K32*Bull!K36/(1+$A11)^Bull!K37+((Bull!$K$20*(1+D$7))*((Bull!$K$10-Bull!$K$11)*(1-Bull!$K$12)+Bull!$K$13-Bull!$K$14)-((Bull!$K$20*(1+D$7))*Bull!$K$15-Bull!$K$30))/($A11-D$7)/(1+$A11)^Bull!$K$37)+Capital!$B$32-Capital!$B$19-Capital!$B$20-(Capital!$B$27+Capital!$B$25+Capital!$B$26+Capital!$B$28))/(Capital!$B$18+0))&lt;Capital!$C$27,(((Bull!B32*Bull!B36/(1+$A11)^Bull!B37+Bull!C32*Bull!C36/(1+$A11)^Bull!C37+Bull!D32*Bull!D36/(1+$A11)^Bull!D37+Bull!E32*Bull!E36/(1+$A11)^Bull!E37+Bull!F32*Bull!F36/(1+$A11)^Bull!F37+Bull!G32*Bull!G36/(1+$A11)^Bull!G37+Bull!H32*Bull!H36/(1+$A11)^Bull!H37+Bull!I32*Bull!I36/(1+$A11)^Bull!I37+Bull!J32*Bull!J36/(1+$A11)^Bull!J37+Bull!K32*Bull!K36/(1+$A11)^Bull!K37+((Bull!$K$20*(1+D$7))*((Bull!$K$10-Bull!$K$11)*(1-Bull!$K$12)+Bull!$K$13-Bull!$K$14)-((Bull!$K$20*(1+D$7))*Bull!$K$15-Bull!$K$30))/($A11-D$7)/(1+$A11)^Bull!$K$37)+Capital!$B$32-Capital!$B$19-Capital!$B$20-(Capital!$B$27+Capital!$B$25+Capital!$B$26+Capital!$B$28))/(Capital!$B$18+0)),(IF((((Bull!B32*Bull!B36/(1+$A11)^Bull!B37+Bull!C32*Bull!C36/(1+$A11)^Bull!C37+Bull!D32*Bull!D36/(1+$A11)^Bull!D37+Bull!E32*Bull!E36/(1+$A11)^Bull!E37+Bull!F32*Bull!F36/(1+$A11)^Bull!F37+Bull!G32*Bull!G36/(1+$A11)^Bull!G37+Bull!H32*Bull!H36/(1+$A11)^Bull!H37+Bull!I32*Bull!I36/(1+$A11)^Bull!I37+Bull!J32*Bull!J36/(1+$A11)^Bull!J37+Bull!K32*Bull!K36/(1+$A11)^Bull!K37+((Bull!$K$20*(1+D$7))*((Bull!$K$10-Bull!$K$11)*(1-Bull!$K$12)+Bull!$K$13-Bull!$K$14)-((Bull!$K$20*(1+D$7))*Bull!$K$15-Bull!$K$30))/($A11-D$7)/(1+$A11)^Bull!$K$37)+Capital!$B$32-Capital!$B$19-Capital!$B$20-(Capital!$B$25+Capital!$B$26+Capital!$B$28))/(Capital!$B$18+Capital!$D$27))&lt;Capital!$C$25,(((Bull!B32*Bull!B36/(1+$A11)^Bull!B37+Bull!C32*Bull!C36/(1+$A11)^Bull!C37+Bull!D32*Bull!D36/(1+$A11)^Bull!D37+Bull!E32*Bull!E36/(1+$A11)^Bull!E37+Bull!F32*Bull!F36/(1+$A11)^Bull!F37+Bull!G32*Bull!G36/(1+$A11)^Bull!G37+Bull!H32*Bull!H36/(1+$A11)^Bull!H37+Bull!I32*Bull!I36/(1+$A11)^Bull!I37+Bull!J32*Bull!J36/(1+$A11)^Bull!J37+Bull!K32*Bull!K36/(1+$A11)^Bull!K37+((Bull!$K$20*(1+D$7))*((Bull!$K$10-Bull!$K$11)*(1-Bull!$K$12)+Bull!$K$13-Bull!$K$14)-((Bull!$K$20*(1+D$7))*Bull!$K$15-Bull!$K$30))/($A11-D$7)/(1+$A11)^Bull!$K$37)+Capital!$B$32-Capital!$B$19-Capital!$B$20-(Capital!$B$25+Capital!$B$26+Capital!$B$28))/(Capital!$B$18+Capital!$D$27)),(IF((((Bull!B32*Bull!B36/(1+$A11)^Bull!B37+Bull!C32*Bull!C36/(1+$A11)^Bull!C37+Bull!D32*Bull!D36/(1+$A11)^Bull!D37+Bull!E32*Bull!E36/(1+$A11)^Bull!E37+Bull!F32*Bull!F36/(1+$A11)^Bull!F37+Bull!G32*Bull!G36/(1+$A11)^Bull!G37+Bull!H32*Bull!H36/(1+$A11)^Bull!H37+Bull!I32*Bull!I36/(1+$A11)^Bull!I37+Bull!J32*Bull!J36/(1+$A11)^Bull!J37+Bull!K32*Bull!K36/(1+$A11)^Bull!K37+((Bull!$K$20*(1+D$7))*((Bull!$K$10-Bull!$K$11)*(1-Bull!$K$12)+Bull!$K$13-Bull!$K$14)-((Bull!$K$20*(1+D$7))*Bull!$K$15-Bull!$K$30))/($A11-D$7)/(1+$A11)^Bull!$K$37)+Capital!$B$32-Capital!$B$19-Capital!$B$20-(Capital!$B$26+Capital!$B$28))/(Capital!$B$18+Capital!$D$27+Capital!$D$25))&lt;Capital!$C$26,(((Bull!B32*Bull!B36/(1+$A11)^Bull!B37+Bull!C32*Bull!C36/(1+$A11)^Bull!C37+Bull!D32*Bull!D36/(1+$A11)^Bull!D37+Bull!E32*Bull!E36/(1+$A11)^Bull!E37+Bull!F32*Bull!F36/(1+$A11)^Bull!F37+Bull!G32*Bull!G36/(1+$A11)^Bull!G37+Bull!H32*Bull!H36/(1+$A11)^Bull!H37+Bull!I32*Bull!I36/(1+$A11)^Bull!I37+Bull!J32*Bull!J36/(1+$A11)^Bull!J37+Bull!K32*Bull!K36/(1+$A11)^Bull!K37+((Bull!$K$20*(1+D$7))*((Bull!$K$10-Bull!$K$11)*(1-Bull!$K$12)+Bull!$K$13-Bull!$K$14)-((Bull!$K$20*(1+D$7))*Bull!$K$15-Bull!$K$30))/($A11-D$7)/(1+$A11)^Bull!$K$37)+Capital!$B$32-Capital!$B$19-Capital!$B$20-(Capital!$B$26+Capital!$B$28))/(Capital!$B$18+Capital!$D$27+Capital!$D$25)),(IF((((Bull!B32*Bull!B36/(1+$A11)^Bull!B37+Bull!C32*Bull!C36/(1+$A11)^Bull!C37+Bull!D32*Bull!D36/(1+$A11)^Bull!D37+Bull!E32*Bull!E36/(1+$A11)^Bull!E37+Bull!F32*Bull!F36/(1+$A11)^Bull!F37+Bull!G32*Bull!G36/(1+$A11)^Bull!G37+Bull!H32*Bull!H36/(1+$A11)^Bull!H37+Bull!I32*Bull!I36/(1+$A11)^Bull!I37+Bull!J32*Bull!J36/(1+$A11)^Bull!J37+Bull!K32*Bull!K36/(1+$A11)^Bull!K37+((Bull!$K$20*(1+D$7))*((Bull!$K$10-Bull!$K$11)*(1-Bull!$K$12)+Bull!$K$13-Bull!$K$14)-((Bull!$K$20*(1+D$7))*Bull!$K$15-Bull!$K$30))/($A11-D$7)/(1+$A11)^Bull!$K$37)+Capital!$B$32-Capital!$B$19-Capital!$B$20-(Capital!$B$28))/(Capital!$B$18+Capital!$D$27+Capital!$D$25+Capital!$D$26))&lt;Capital!$C$28,(((Bull!B32*Bull!B36/(1+$A11)^Bull!B37+Bull!C32*Bull!C36/(1+$A11)^Bull!C37+Bull!D32*Bull!D36/(1+$A11)^Bull!D37+Bull!E32*Bull!E36/(1+$A11)^Bull!E37+Bull!F32*Bull!F36/(1+$A11)^Bull!F37+Bull!G32*Bull!G36/(1+$A11)^Bull!G37+Bull!H32*Bull!H36/(1+$A11)^Bull!H37+Bull!I32*Bull!I36/(1+$A11)^Bull!I37+Bull!J32*Bull!J36/(1+$A11)^Bull!J37+Bull!K32*Bull!K36/(1+$A11)^Bull!K37+((Bull!$K$20*(1+D$7))*((Bull!$K$10-Bull!$K$11)*(1-Bull!$K$12)+Bull!$K$13-Bull!$K$14)-((Bull!$K$20*(1+D$7))*Bull!$K$15-Bull!$K$30))/($A11-D$7)/(1+$A11)^Bull!$K$37)+Capital!$B$32-Capital!$B$19-Capital!$B$20-(Capital!$B$28))/(Capital!$B$18+Capital!$D$27+Capital!$D$25+Capital!$D$26)),(((Bull!B32*Bull!B36/(1+$A11)^Bull!B37+Bull!C32*Bull!C36/(1+$A11)^Bull!C37+Bull!D32*Bull!D36/(1+$A11)^Bull!D37+Bull!E32*Bull!E36/(1+$A11)^Bull!E37+Bull!F32*Bull!F36/(1+$A11)^Bull!F37+Bull!G32*Bull!G36/(1+$A11)^Bull!G37+Bull!H32*Bull!H36/(1+$A11)^Bull!H37+Bull!I32*Bull!I36/(1+$A11)^Bull!I37+Bull!J32*Bull!J36/(1+$A11)^Bull!J37+Bull!K32*Bull!K36/(1+$A11)^Bull!K37+((Bull!$K$20*(1+D$7))*((Bull!$K$10-Bull!$K$11)*(1-Bull!$K$12)+Bull!$K$13-Bull!$K$14)-((Bull!$K$20*(1+D$7))*Bull!$K$15-Bull!$K$30))/($A11-D$7)/(1+$A11)^Bull!$K$37)+Capital!$B$32-Capital!$B$19-Capital!$B$20-(0))/(Capital!$B$18+Capital!$D$27+Capital!$D$25+Capital!$D$26+Capital!$D$28)))))))))</f>
        <v>275.87854459079574</v>
      </c>
      <c r="E11" s="3">
        <f>IF((((Bull!B32*Bull!B36/(1+$A11)^Bull!B37+Bull!C32*Bull!C36/(1+$A11)^Bull!C37+Bull!D32*Bull!D36/(1+$A11)^Bull!D37+Bull!E32*Bull!E36/(1+$A11)^Bull!E37+Bull!F32*Bull!F36/(1+$A11)^Bull!F37+Bull!G32*Bull!G36/(1+$A11)^Bull!G37+Bull!H32*Bull!H36/(1+$A11)^Bull!H37+Bull!I32*Bull!I36/(1+$A11)^Bull!I37+Bull!J32*Bull!J36/(1+$A11)^Bull!J37+Bull!K32*Bull!K36/(1+$A11)^Bull!K37+((Bull!$K$20*(1+E$7))*((Bull!$K$10-Bull!$K$11)*(1-Bull!$K$12)+Bull!$K$13-Bull!$K$14)-((Bull!$K$20*(1+E$7))*Bull!$K$15-Bull!$K$30))/($A11-E$7)/(1+$A11)^Bull!$K$37)+Capital!$B$32-Capital!$B$19-Capital!$B$20-(Capital!$B$27+Capital!$B$25+Capital!$B$26+Capital!$B$28))/(Capital!$B$18+0))&lt;Capital!$C$27,(((Bull!B32*Bull!B36/(1+$A11)^Bull!B37+Bull!C32*Bull!C36/(1+$A11)^Bull!C37+Bull!D32*Bull!D36/(1+$A11)^Bull!D37+Bull!E32*Bull!E36/(1+$A11)^Bull!E37+Bull!F32*Bull!F36/(1+$A11)^Bull!F37+Bull!G32*Bull!G36/(1+$A11)^Bull!G37+Bull!H32*Bull!H36/(1+$A11)^Bull!H37+Bull!I32*Bull!I36/(1+$A11)^Bull!I37+Bull!J32*Bull!J36/(1+$A11)^Bull!J37+Bull!K32*Bull!K36/(1+$A11)^Bull!K37+((Bull!$K$20*(1+E$7))*((Bull!$K$10-Bull!$K$11)*(1-Bull!$K$12)+Bull!$K$13-Bull!$K$14)-((Bull!$K$20*(1+E$7))*Bull!$K$15-Bull!$K$30))/($A11-E$7)/(1+$A11)^Bull!$K$37)+Capital!$B$32-Capital!$B$19-Capital!$B$20-(Capital!$B$27+Capital!$B$25+Capital!$B$26+Capital!$B$28))/(Capital!$B$18+0)),(IF((((Bull!B32*Bull!B36/(1+$A11)^Bull!B37+Bull!C32*Bull!C36/(1+$A11)^Bull!C37+Bull!D32*Bull!D36/(1+$A11)^Bull!D37+Bull!E32*Bull!E36/(1+$A11)^Bull!E37+Bull!F32*Bull!F36/(1+$A11)^Bull!F37+Bull!G32*Bull!G36/(1+$A11)^Bull!G37+Bull!H32*Bull!H36/(1+$A11)^Bull!H37+Bull!I32*Bull!I36/(1+$A11)^Bull!I37+Bull!J32*Bull!J36/(1+$A11)^Bull!J37+Bull!K32*Bull!K36/(1+$A11)^Bull!K37+((Bull!$K$20*(1+E$7))*((Bull!$K$10-Bull!$K$11)*(1-Bull!$K$12)+Bull!$K$13-Bull!$K$14)-((Bull!$K$20*(1+E$7))*Bull!$K$15-Bull!$K$30))/($A11-E$7)/(1+$A11)^Bull!$K$37)+Capital!$B$32-Capital!$B$19-Capital!$B$20-(Capital!$B$25+Capital!$B$26+Capital!$B$28))/(Capital!$B$18+Capital!$D$27))&lt;Capital!$C$25,(((Bull!B32*Bull!B36/(1+$A11)^Bull!B37+Bull!C32*Bull!C36/(1+$A11)^Bull!C37+Bull!D32*Bull!D36/(1+$A11)^Bull!D37+Bull!E32*Bull!E36/(1+$A11)^Bull!E37+Bull!F32*Bull!F36/(1+$A11)^Bull!F37+Bull!G32*Bull!G36/(1+$A11)^Bull!G37+Bull!H32*Bull!H36/(1+$A11)^Bull!H37+Bull!I32*Bull!I36/(1+$A11)^Bull!I37+Bull!J32*Bull!J36/(1+$A11)^Bull!J37+Bull!K32*Bull!K36/(1+$A11)^Bull!K37+((Bull!$K$20*(1+E$7))*((Bull!$K$10-Bull!$K$11)*(1-Bull!$K$12)+Bull!$K$13-Bull!$K$14)-((Bull!$K$20*(1+E$7))*Bull!$K$15-Bull!$K$30))/($A11-E$7)/(1+$A11)^Bull!$K$37)+Capital!$B$32-Capital!$B$19-Capital!$B$20-(Capital!$B$25+Capital!$B$26+Capital!$B$28))/(Capital!$B$18+Capital!$D$27)),(IF((((Bull!B32*Bull!B36/(1+$A11)^Bull!B37+Bull!C32*Bull!C36/(1+$A11)^Bull!C37+Bull!D32*Bull!D36/(1+$A11)^Bull!D37+Bull!E32*Bull!E36/(1+$A11)^Bull!E37+Bull!F32*Bull!F36/(1+$A11)^Bull!F37+Bull!G32*Bull!G36/(1+$A11)^Bull!G37+Bull!H32*Bull!H36/(1+$A11)^Bull!H37+Bull!I32*Bull!I36/(1+$A11)^Bull!I37+Bull!J32*Bull!J36/(1+$A11)^Bull!J37+Bull!K32*Bull!K36/(1+$A11)^Bull!K37+((Bull!$K$20*(1+E$7))*((Bull!$K$10-Bull!$K$11)*(1-Bull!$K$12)+Bull!$K$13-Bull!$K$14)-((Bull!$K$20*(1+E$7))*Bull!$K$15-Bull!$K$30))/($A11-E$7)/(1+$A11)^Bull!$K$37)+Capital!$B$32-Capital!$B$19-Capital!$B$20-(Capital!$B$26+Capital!$B$28))/(Capital!$B$18+Capital!$D$27+Capital!$D$25))&lt;Capital!$C$26,(((Bull!B32*Bull!B36/(1+$A11)^Bull!B37+Bull!C32*Bull!C36/(1+$A11)^Bull!C37+Bull!D32*Bull!D36/(1+$A11)^Bull!D37+Bull!E32*Bull!E36/(1+$A11)^Bull!E37+Bull!F32*Bull!F36/(1+$A11)^Bull!F37+Bull!G32*Bull!G36/(1+$A11)^Bull!G37+Bull!H32*Bull!H36/(1+$A11)^Bull!H37+Bull!I32*Bull!I36/(1+$A11)^Bull!I37+Bull!J32*Bull!J36/(1+$A11)^Bull!J37+Bull!K32*Bull!K36/(1+$A11)^Bull!K37+((Bull!$K$20*(1+E$7))*((Bull!$K$10-Bull!$K$11)*(1-Bull!$K$12)+Bull!$K$13-Bull!$K$14)-((Bull!$K$20*(1+E$7))*Bull!$K$15-Bull!$K$30))/($A11-E$7)/(1+$A11)^Bull!$K$37)+Capital!$B$32-Capital!$B$19-Capital!$B$20-(Capital!$B$26+Capital!$B$28))/(Capital!$B$18+Capital!$D$27+Capital!$D$25)),(IF((((Bull!B32*Bull!B36/(1+$A11)^Bull!B37+Bull!C32*Bull!C36/(1+$A11)^Bull!C37+Bull!D32*Bull!D36/(1+$A11)^Bull!D37+Bull!E32*Bull!E36/(1+$A11)^Bull!E37+Bull!F32*Bull!F36/(1+$A11)^Bull!F37+Bull!G32*Bull!G36/(1+$A11)^Bull!G37+Bull!H32*Bull!H36/(1+$A11)^Bull!H37+Bull!I32*Bull!I36/(1+$A11)^Bull!I37+Bull!J32*Bull!J36/(1+$A11)^Bull!J37+Bull!K32*Bull!K36/(1+$A11)^Bull!K37+((Bull!$K$20*(1+E$7))*((Bull!$K$10-Bull!$K$11)*(1-Bull!$K$12)+Bull!$K$13-Bull!$K$14)-((Bull!$K$20*(1+E$7))*Bull!$K$15-Bull!$K$30))/($A11-E$7)/(1+$A11)^Bull!$K$37)+Capital!$B$32-Capital!$B$19-Capital!$B$20-(Capital!$B$28))/(Capital!$B$18+Capital!$D$27+Capital!$D$25+Capital!$D$26))&lt;Capital!$C$28,(((Bull!B32*Bull!B36/(1+$A11)^Bull!B37+Bull!C32*Bull!C36/(1+$A11)^Bull!C37+Bull!D32*Bull!D36/(1+$A11)^Bull!D37+Bull!E32*Bull!E36/(1+$A11)^Bull!E37+Bull!F32*Bull!F36/(1+$A11)^Bull!F37+Bull!G32*Bull!G36/(1+$A11)^Bull!G37+Bull!H32*Bull!H36/(1+$A11)^Bull!H37+Bull!I32*Bull!I36/(1+$A11)^Bull!I37+Bull!J32*Bull!J36/(1+$A11)^Bull!J37+Bull!K32*Bull!K36/(1+$A11)^Bull!K37+((Bull!$K$20*(1+E$7))*((Bull!$K$10-Bull!$K$11)*(1-Bull!$K$12)+Bull!$K$13-Bull!$K$14)-((Bull!$K$20*(1+E$7))*Bull!$K$15-Bull!$K$30))/($A11-E$7)/(1+$A11)^Bull!$K$37)+Capital!$B$32-Capital!$B$19-Capital!$B$20-(Capital!$B$28))/(Capital!$B$18+Capital!$D$27+Capital!$D$25+Capital!$D$26)),(((Bull!B32*Bull!B36/(1+$A11)^Bull!B37+Bull!C32*Bull!C36/(1+$A11)^Bull!C37+Bull!D32*Bull!D36/(1+$A11)^Bull!D37+Bull!E32*Bull!E36/(1+$A11)^Bull!E37+Bull!F32*Bull!F36/(1+$A11)^Bull!F37+Bull!G32*Bull!G36/(1+$A11)^Bull!G37+Bull!H32*Bull!H36/(1+$A11)^Bull!H37+Bull!I32*Bull!I36/(1+$A11)^Bull!I37+Bull!J32*Bull!J36/(1+$A11)^Bull!J37+Bull!K32*Bull!K36/(1+$A11)^Bull!K37+((Bull!$K$20*(1+E$7))*((Bull!$K$10-Bull!$K$11)*(1-Bull!$K$12)+Bull!$K$13-Bull!$K$14)-((Bull!$K$20*(1+E$7))*Bull!$K$15-Bull!$K$30))/($A11-E$7)/(1+$A11)^Bull!$K$37)+Capital!$B$32-Capital!$B$19-Capital!$B$20-(0))/(Capital!$B$18+Capital!$D$27+Capital!$D$25+Capital!$D$26+Capital!$D$28)))))))))</f>
        <v>279.67841748713545</v>
      </c>
      <c r="F11" s="3">
        <f>IF((((Bull!B32*Bull!B36/(1+$A11)^Bull!B37+Bull!C32*Bull!C36/(1+$A11)^Bull!C37+Bull!D32*Bull!D36/(1+$A11)^Bull!D37+Bull!E32*Bull!E36/(1+$A11)^Bull!E37+Bull!F32*Bull!F36/(1+$A11)^Bull!F37+Bull!G32*Bull!G36/(1+$A11)^Bull!G37+Bull!H32*Bull!H36/(1+$A11)^Bull!H37+Bull!I32*Bull!I36/(1+$A11)^Bull!I37+Bull!J32*Bull!J36/(1+$A11)^Bull!J37+Bull!K32*Bull!K36/(1+$A11)^Bull!K37+((Bull!$K$20*(1+F$7))*((Bull!$K$10-Bull!$K$11)*(1-Bull!$K$12)+Bull!$K$13-Bull!$K$14)-((Bull!$K$20*(1+F$7))*Bull!$K$15-Bull!$K$30))/($A11-F$7)/(1+$A11)^Bull!$K$37)+Capital!$B$32-Capital!$B$19-Capital!$B$20-(Capital!$B$27+Capital!$B$25+Capital!$B$26+Capital!$B$28))/(Capital!$B$18+0))&lt;Capital!$C$27,(((Bull!B32*Bull!B36/(1+$A11)^Bull!B37+Bull!C32*Bull!C36/(1+$A11)^Bull!C37+Bull!D32*Bull!D36/(1+$A11)^Bull!D37+Bull!E32*Bull!E36/(1+$A11)^Bull!E37+Bull!F32*Bull!F36/(1+$A11)^Bull!F37+Bull!G32*Bull!G36/(1+$A11)^Bull!G37+Bull!H32*Bull!H36/(1+$A11)^Bull!H37+Bull!I32*Bull!I36/(1+$A11)^Bull!I37+Bull!J32*Bull!J36/(1+$A11)^Bull!J37+Bull!K32*Bull!K36/(1+$A11)^Bull!K37+((Bull!$K$20*(1+F$7))*((Bull!$K$10-Bull!$K$11)*(1-Bull!$K$12)+Bull!$K$13-Bull!$K$14)-((Bull!$K$20*(1+F$7))*Bull!$K$15-Bull!$K$30))/($A11-F$7)/(1+$A11)^Bull!$K$37)+Capital!$B$32-Capital!$B$19-Capital!$B$20-(Capital!$B$27+Capital!$B$25+Capital!$B$26+Capital!$B$28))/(Capital!$B$18+0)),(IF((((Bull!B32*Bull!B36/(1+$A11)^Bull!B37+Bull!C32*Bull!C36/(1+$A11)^Bull!C37+Bull!D32*Bull!D36/(1+$A11)^Bull!D37+Bull!E32*Bull!E36/(1+$A11)^Bull!E37+Bull!F32*Bull!F36/(1+$A11)^Bull!F37+Bull!G32*Bull!G36/(1+$A11)^Bull!G37+Bull!H32*Bull!H36/(1+$A11)^Bull!H37+Bull!I32*Bull!I36/(1+$A11)^Bull!I37+Bull!J32*Bull!J36/(1+$A11)^Bull!J37+Bull!K32*Bull!K36/(1+$A11)^Bull!K37+((Bull!$K$20*(1+F$7))*((Bull!$K$10-Bull!$K$11)*(1-Bull!$K$12)+Bull!$K$13-Bull!$K$14)-((Bull!$K$20*(1+F$7))*Bull!$K$15-Bull!$K$30))/($A11-F$7)/(1+$A11)^Bull!$K$37)+Capital!$B$32-Capital!$B$19-Capital!$B$20-(Capital!$B$25+Capital!$B$26+Capital!$B$28))/(Capital!$B$18+Capital!$D$27))&lt;Capital!$C$25,(((Bull!B32*Bull!B36/(1+$A11)^Bull!B37+Bull!C32*Bull!C36/(1+$A11)^Bull!C37+Bull!D32*Bull!D36/(1+$A11)^Bull!D37+Bull!E32*Bull!E36/(1+$A11)^Bull!E37+Bull!F32*Bull!F36/(1+$A11)^Bull!F37+Bull!G32*Bull!G36/(1+$A11)^Bull!G37+Bull!H32*Bull!H36/(1+$A11)^Bull!H37+Bull!I32*Bull!I36/(1+$A11)^Bull!I37+Bull!J32*Bull!J36/(1+$A11)^Bull!J37+Bull!K32*Bull!K36/(1+$A11)^Bull!K37+((Bull!$K$20*(1+F$7))*((Bull!$K$10-Bull!$K$11)*(1-Bull!$K$12)+Bull!$K$13-Bull!$K$14)-((Bull!$K$20*(1+F$7))*Bull!$K$15-Bull!$K$30))/($A11-F$7)/(1+$A11)^Bull!$K$37)+Capital!$B$32-Capital!$B$19-Capital!$B$20-(Capital!$B$25+Capital!$B$26+Capital!$B$28))/(Capital!$B$18+Capital!$D$27)),(IF((((Bull!B32*Bull!B36/(1+$A11)^Bull!B37+Bull!C32*Bull!C36/(1+$A11)^Bull!C37+Bull!D32*Bull!D36/(1+$A11)^Bull!D37+Bull!E32*Bull!E36/(1+$A11)^Bull!E37+Bull!F32*Bull!F36/(1+$A11)^Bull!F37+Bull!G32*Bull!G36/(1+$A11)^Bull!G37+Bull!H32*Bull!H36/(1+$A11)^Bull!H37+Bull!I32*Bull!I36/(1+$A11)^Bull!I37+Bull!J32*Bull!J36/(1+$A11)^Bull!J37+Bull!K32*Bull!K36/(1+$A11)^Bull!K37+((Bull!$K$20*(1+F$7))*((Bull!$K$10-Bull!$K$11)*(1-Bull!$K$12)+Bull!$K$13-Bull!$K$14)-((Bull!$K$20*(1+F$7))*Bull!$K$15-Bull!$K$30))/($A11-F$7)/(1+$A11)^Bull!$K$37)+Capital!$B$32-Capital!$B$19-Capital!$B$20-(Capital!$B$26+Capital!$B$28))/(Capital!$B$18+Capital!$D$27+Capital!$D$25))&lt;Capital!$C$26,(((Bull!B32*Bull!B36/(1+$A11)^Bull!B37+Bull!C32*Bull!C36/(1+$A11)^Bull!C37+Bull!D32*Bull!D36/(1+$A11)^Bull!D37+Bull!E32*Bull!E36/(1+$A11)^Bull!E37+Bull!F32*Bull!F36/(1+$A11)^Bull!F37+Bull!G32*Bull!G36/(1+$A11)^Bull!G37+Bull!H32*Bull!H36/(1+$A11)^Bull!H37+Bull!I32*Bull!I36/(1+$A11)^Bull!I37+Bull!J32*Bull!J36/(1+$A11)^Bull!J37+Bull!K32*Bull!K36/(1+$A11)^Bull!K37+((Bull!$K$20*(1+F$7))*((Bull!$K$10-Bull!$K$11)*(1-Bull!$K$12)+Bull!$K$13-Bull!$K$14)-((Bull!$K$20*(1+F$7))*Bull!$K$15-Bull!$K$30))/($A11-F$7)/(1+$A11)^Bull!$K$37)+Capital!$B$32-Capital!$B$19-Capital!$B$20-(Capital!$B$26+Capital!$B$28))/(Capital!$B$18+Capital!$D$27+Capital!$D$25)),(IF((((Bull!B32*Bull!B36/(1+$A11)^Bull!B37+Bull!C32*Bull!C36/(1+$A11)^Bull!C37+Bull!D32*Bull!D36/(1+$A11)^Bull!D37+Bull!E32*Bull!E36/(1+$A11)^Bull!E37+Bull!F32*Bull!F36/(1+$A11)^Bull!F37+Bull!G32*Bull!G36/(1+$A11)^Bull!G37+Bull!H32*Bull!H36/(1+$A11)^Bull!H37+Bull!I32*Bull!I36/(1+$A11)^Bull!I37+Bull!J32*Bull!J36/(1+$A11)^Bull!J37+Bull!K32*Bull!K36/(1+$A11)^Bull!K37+((Bull!$K$20*(1+F$7))*((Bull!$K$10-Bull!$K$11)*(1-Bull!$K$12)+Bull!$K$13-Bull!$K$14)-((Bull!$K$20*(1+F$7))*Bull!$K$15-Bull!$K$30))/($A11-F$7)/(1+$A11)^Bull!$K$37)+Capital!$B$32-Capital!$B$19-Capital!$B$20-(Capital!$B$28))/(Capital!$B$18+Capital!$D$27+Capital!$D$25+Capital!$D$26))&lt;Capital!$C$28,(((Bull!B32*Bull!B36/(1+$A11)^Bull!B37+Bull!C32*Bull!C36/(1+$A11)^Bull!C37+Bull!D32*Bull!D36/(1+$A11)^Bull!D37+Bull!E32*Bull!E36/(1+$A11)^Bull!E37+Bull!F32*Bull!F36/(1+$A11)^Bull!F37+Bull!G32*Bull!G36/(1+$A11)^Bull!G37+Bull!H32*Bull!H36/(1+$A11)^Bull!H37+Bull!I32*Bull!I36/(1+$A11)^Bull!I37+Bull!J32*Bull!J36/(1+$A11)^Bull!J37+Bull!K32*Bull!K36/(1+$A11)^Bull!K37+((Bull!$K$20*(1+F$7))*((Bull!$K$10-Bull!$K$11)*(1-Bull!$K$12)+Bull!$K$13-Bull!$K$14)-((Bull!$K$20*(1+F$7))*Bull!$K$15-Bull!$K$30))/($A11-F$7)/(1+$A11)^Bull!$K$37)+Capital!$B$32-Capital!$B$19-Capital!$B$20-(Capital!$B$28))/(Capital!$B$18+Capital!$D$27+Capital!$D$25+Capital!$D$26)),(((Bull!B32*Bull!B36/(1+$A11)^Bull!B37+Bull!C32*Bull!C36/(1+$A11)^Bull!C37+Bull!D32*Bull!D36/(1+$A11)^Bull!D37+Bull!E32*Bull!E36/(1+$A11)^Bull!E37+Bull!F32*Bull!F36/(1+$A11)^Bull!F37+Bull!G32*Bull!G36/(1+$A11)^Bull!G37+Bull!H32*Bull!H36/(1+$A11)^Bull!H37+Bull!I32*Bull!I36/(1+$A11)^Bull!I37+Bull!J32*Bull!J36/(1+$A11)^Bull!J37+Bull!K32*Bull!K36/(1+$A11)^Bull!K37+((Bull!$K$20*(1+F$7))*((Bull!$K$10-Bull!$K$11)*(1-Bull!$K$12)+Bull!$K$13-Bull!$K$14)-((Bull!$K$20*(1+F$7))*Bull!$K$15-Bull!$K$30))/($A11-F$7)/(1+$A11)^Bull!$K$37)+Capital!$B$32-Capital!$B$19-Capital!$B$20-(0))/(Capital!$B$18+Capital!$D$27+Capital!$D$25+Capital!$D$26+Capital!$D$28)))))))))</f>
        <v>283.82454610257298</v>
      </c>
    </row>
    <row r="12" spans="1:11" ht="15.5" x14ac:dyDescent="0.35">
      <c r="A12" s="7">
        <v>0.15974180892202949</v>
      </c>
      <c r="B12" s="3">
        <f>IF((((Bull!B32*Bull!B36/(1+$A12)^Bull!B37+Bull!C32*Bull!C36/(1+$A12)^Bull!C37+Bull!D32*Bull!D36/(1+$A12)^Bull!D37+Bull!E32*Bull!E36/(1+$A12)^Bull!E37+Bull!F32*Bull!F36/(1+$A12)^Bull!F37+Bull!G32*Bull!G36/(1+$A12)^Bull!G37+Bull!H32*Bull!H36/(1+$A12)^Bull!H37+Bull!I32*Bull!I36/(1+$A12)^Bull!I37+Bull!J32*Bull!J36/(1+$A12)^Bull!J37+Bull!K32*Bull!K36/(1+$A12)^Bull!K37+((Bull!$K$20*(1+B$7))*((Bull!$K$10-Bull!$K$11)*(1-Bull!$K$12)+Bull!$K$13-Bull!$K$14)-((Bull!$K$20*(1+B$7))*Bull!$K$15-Bull!$K$30))/($A12-B$7)/(1+$A12)^Bull!$K$37)+Capital!$B$32-Capital!$B$19-Capital!$B$20-(Capital!$B$27+Capital!$B$25+Capital!$B$26+Capital!$B$28))/(Capital!$B$18+0))&lt;Capital!$C$27,(((Bull!B32*Bull!B36/(1+$A12)^Bull!B37+Bull!C32*Bull!C36/(1+$A12)^Bull!C37+Bull!D32*Bull!D36/(1+$A12)^Bull!D37+Bull!E32*Bull!E36/(1+$A12)^Bull!E37+Bull!F32*Bull!F36/(1+$A12)^Bull!F37+Bull!G32*Bull!G36/(1+$A12)^Bull!G37+Bull!H32*Bull!H36/(1+$A12)^Bull!H37+Bull!I32*Bull!I36/(1+$A12)^Bull!I37+Bull!J32*Bull!J36/(1+$A12)^Bull!J37+Bull!K32*Bull!K36/(1+$A12)^Bull!K37+((Bull!$K$20*(1+B$7))*((Bull!$K$10-Bull!$K$11)*(1-Bull!$K$12)+Bull!$K$13-Bull!$K$14)-((Bull!$K$20*(1+B$7))*Bull!$K$15-Bull!$K$30))/($A12-B$7)/(1+$A12)^Bull!$K$37)+Capital!$B$32-Capital!$B$19-Capital!$B$20-(Capital!$B$27+Capital!$B$25+Capital!$B$26+Capital!$B$28))/(Capital!$B$18+0)),(IF((((Bull!B32*Bull!B36/(1+$A12)^Bull!B37+Bull!C32*Bull!C36/(1+$A12)^Bull!C37+Bull!D32*Bull!D36/(1+$A12)^Bull!D37+Bull!E32*Bull!E36/(1+$A12)^Bull!E37+Bull!F32*Bull!F36/(1+$A12)^Bull!F37+Bull!G32*Bull!G36/(1+$A12)^Bull!G37+Bull!H32*Bull!H36/(1+$A12)^Bull!H37+Bull!I32*Bull!I36/(1+$A12)^Bull!I37+Bull!J32*Bull!J36/(1+$A12)^Bull!J37+Bull!K32*Bull!K36/(1+$A12)^Bull!K37+((Bull!$K$20*(1+B$7))*((Bull!$K$10-Bull!$K$11)*(1-Bull!$K$12)+Bull!$K$13-Bull!$K$14)-((Bull!$K$20*(1+B$7))*Bull!$K$15-Bull!$K$30))/($A12-B$7)/(1+$A12)^Bull!$K$37)+Capital!$B$32-Capital!$B$19-Capital!$B$20-(Capital!$B$25+Capital!$B$26+Capital!$B$28))/(Capital!$B$18+Capital!$D$27))&lt;Capital!$C$25,(((Bull!B32*Bull!B36/(1+$A12)^Bull!B37+Bull!C32*Bull!C36/(1+$A12)^Bull!C37+Bull!D32*Bull!D36/(1+$A12)^Bull!D37+Bull!E32*Bull!E36/(1+$A12)^Bull!E37+Bull!F32*Bull!F36/(1+$A12)^Bull!F37+Bull!G32*Bull!G36/(1+$A12)^Bull!G37+Bull!H32*Bull!H36/(1+$A12)^Bull!H37+Bull!I32*Bull!I36/(1+$A12)^Bull!I37+Bull!J32*Bull!J36/(1+$A12)^Bull!J37+Bull!K32*Bull!K36/(1+$A12)^Bull!K37+((Bull!$K$20*(1+B$7))*((Bull!$K$10-Bull!$K$11)*(1-Bull!$K$12)+Bull!$K$13-Bull!$K$14)-((Bull!$K$20*(1+B$7))*Bull!$K$15-Bull!$K$30))/($A12-B$7)/(1+$A12)^Bull!$K$37)+Capital!$B$32-Capital!$B$19-Capital!$B$20-(Capital!$B$25+Capital!$B$26+Capital!$B$28))/(Capital!$B$18+Capital!$D$27)),(IF((((Bull!B32*Bull!B36/(1+$A12)^Bull!B37+Bull!C32*Bull!C36/(1+$A12)^Bull!C37+Bull!D32*Bull!D36/(1+$A12)^Bull!D37+Bull!E32*Bull!E36/(1+$A12)^Bull!E37+Bull!F32*Bull!F36/(1+$A12)^Bull!F37+Bull!G32*Bull!G36/(1+$A12)^Bull!G37+Bull!H32*Bull!H36/(1+$A12)^Bull!H37+Bull!I32*Bull!I36/(1+$A12)^Bull!I37+Bull!J32*Bull!J36/(1+$A12)^Bull!J37+Bull!K32*Bull!K36/(1+$A12)^Bull!K37+((Bull!$K$20*(1+B$7))*((Bull!$K$10-Bull!$K$11)*(1-Bull!$K$12)+Bull!$K$13-Bull!$K$14)-((Bull!$K$20*(1+B$7))*Bull!$K$15-Bull!$K$30))/($A12-B$7)/(1+$A12)^Bull!$K$37)+Capital!$B$32-Capital!$B$19-Capital!$B$20-(Capital!$B$26+Capital!$B$28))/(Capital!$B$18+Capital!$D$27+Capital!$D$25))&lt;Capital!$C$26,(((Bull!B32*Bull!B36/(1+$A12)^Bull!B37+Bull!C32*Bull!C36/(1+$A12)^Bull!C37+Bull!D32*Bull!D36/(1+$A12)^Bull!D37+Bull!E32*Bull!E36/(1+$A12)^Bull!E37+Bull!F32*Bull!F36/(1+$A12)^Bull!F37+Bull!G32*Bull!G36/(1+$A12)^Bull!G37+Bull!H32*Bull!H36/(1+$A12)^Bull!H37+Bull!I32*Bull!I36/(1+$A12)^Bull!I37+Bull!J32*Bull!J36/(1+$A12)^Bull!J37+Bull!K32*Bull!K36/(1+$A12)^Bull!K37+((Bull!$K$20*(1+B$7))*((Bull!$K$10-Bull!$K$11)*(1-Bull!$K$12)+Bull!$K$13-Bull!$K$14)-((Bull!$K$20*(1+B$7))*Bull!$K$15-Bull!$K$30))/($A12-B$7)/(1+$A12)^Bull!$K$37)+Capital!$B$32-Capital!$B$19-Capital!$B$20-(Capital!$B$26+Capital!$B$28))/(Capital!$B$18+Capital!$D$27+Capital!$D$25)),(IF((((Bull!B32*Bull!B36/(1+$A12)^Bull!B37+Bull!C32*Bull!C36/(1+$A12)^Bull!C37+Bull!D32*Bull!D36/(1+$A12)^Bull!D37+Bull!E32*Bull!E36/(1+$A12)^Bull!E37+Bull!F32*Bull!F36/(1+$A12)^Bull!F37+Bull!G32*Bull!G36/(1+$A12)^Bull!G37+Bull!H32*Bull!H36/(1+$A12)^Bull!H37+Bull!I32*Bull!I36/(1+$A12)^Bull!I37+Bull!J32*Bull!J36/(1+$A12)^Bull!J37+Bull!K32*Bull!K36/(1+$A12)^Bull!K37+((Bull!$K$20*(1+B$7))*((Bull!$K$10-Bull!$K$11)*(1-Bull!$K$12)+Bull!$K$13-Bull!$K$14)-((Bull!$K$20*(1+B$7))*Bull!$K$15-Bull!$K$30))/($A12-B$7)/(1+$A12)^Bull!$K$37)+Capital!$B$32-Capital!$B$19-Capital!$B$20-(Capital!$B$28))/(Capital!$B$18+Capital!$D$27+Capital!$D$25+Capital!$D$26))&lt;Capital!$C$28,(((Bull!B32*Bull!B36/(1+$A12)^Bull!B37+Bull!C32*Bull!C36/(1+$A12)^Bull!C37+Bull!D32*Bull!D36/(1+$A12)^Bull!D37+Bull!E32*Bull!E36/(1+$A12)^Bull!E37+Bull!F32*Bull!F36/(1+$A12)^Bull!F37+Bull!G32*Bull!G36/(1+$A12)^Bull!G37+Bull!H32*Bull!H36/(1+$A12)^Bull!H37+Bull!I32*Bull!I36/(1+$A12)^Bull!I37+Bull!J32*Bull!J36/(1+$A12)^Bull!J37+Bull!K32*Bull!K36/(1+$A12)^Bull!K37+((Bull!$K$20*(1+B$7))*((Bull!$K$10-Bull!$K$11)*(1-Bull!$K$12)+Bull!$K$13-Bull!$K$14)-((Bull!$K$20*(1+B$7))*Bull!$K$15-Bull!$K$30))/($A12-B$7)/(1+$A12)^Bull!$K$37)+Capital!$B$32-Capital!$B$19-Capital!$B$20-(Capital!$B$28))/(Capital!$B$18+Capital!$D$27+Capital!$D$25+Capital!$D$26)),(((Bull!B32*Bull!B36/(1+$A12)^Bull!B37+Bull!C32*Bull!C36/(1+$A12)^Bull!C37+Bull!D32*Bull!D36/(1+$A12)^Bull!D37+Bull!E32*Bull!E36/(1+$A12)^Bull!E37+Bull!F32*Bull!F36/(1+$A12)^Bull!F37+Bull!G32*Bull!G36/(1+$A12)^Bull!G37+Bull!H32*Bull!H36/(1+$A12)^Bull!H37+Bull!I32*Bull!I36/(1+$A12)^Bull!I37+Bull!J32*Bull!J36/(1+$A12)^Bull!J37+Bull!K32*Bull!K36/(1+$A12)^Bull!K37+((Bull!$K$20*(1+B$7))*((Bull!$K$10-Bull!$K$11)*(1-Bull!$K$12)+Bull!$K$13-Bull!$K$14)-((Bull!$K$20*(1+B$7))*Bull!$K$15-Bull!$K$30))/($A12-B$7)/(1+$A12)^Bull!$K$37)+Capital!$B$32-Capital!$B$19-Capital!$B$20-(0))/(Capital!$B$18+Capital!$D$27+Capital!$D$25+Capital!$D$26+Capital!$D$28)))))))))</f>
        <v>249.88682737341327</v>
      </c>
      <c r="C12" s="3">
        <f>IF((((Bull!B32*Bull!B36/(1+$A12)^Bull!B37+Bull!C32*Bull!C36/(1+$A12)^Bull!C37+Bull!D32*Bull!D36/(1+$A12)^Bull!D37+Bull!E32*Bull!E36/(1+$A12)^Bull!E37+Bull!F32*Bull!F36/(1+$A12)^Bull!F37+Bull!G32*Bull!G36/(1+$A12)^Bull!G37+Bull!H32*Bull!H36/(1+$A12)^Bull!H37+Bull!I32*Bull!I36/(1+$A12)^Bull!I37+Bull!J32*Bull!J36/(1+$A12)^Bull!J37+Bull!K32*Bull!K36/(1+$A12)^Bull!K37+((Bull!$K$20*(1+C$7))*((Bull!$K$10-Bull!$K$11)*(1-Bull!$K$12)+Bull!$K$13-Bull!$K$14)-((Bull!$K$20*(1+C$7))*Bull!$K$15-Bull!$K$30))/($A12-C$7)/(1+$A12)^Bull!$K$37)+Capital!$B$32-Capital!$B$19-Capital!$B$20-(Capital!$B$27+Capital!$B$25+Capital!$B$26+Capital!$B$28))/(Capital!$B$18+0))&lt;Capital!$C$27,(((Bull!B32*Bull!B36/(1+$A12)^Bull!B37+Bull!C32*Bull!C36/(1+$A12)^Bull!C37+Bull!D32*Bull!D36/(1+$A12)^Bull!D37+Bull!E32*Bull!E36/(1+$A12)^Bull!E37+Bull!F32*Bull!F36/(1+$A12)^Bull!F37+Bull!G32*Bull!G36/(1+$A12)^Bull!G37+Bull!H32*Bull!H36/(1+$A12)^Bull!H37+Bull!I32*Bull!I36/(1+$A12)^Bull!I37+Bull!J32*Bull!J36/(1+$A12)^Bull!J37+Bull!K32*Bull!K36/(1+$A12)^Bull!K37+((Bull!$K$20*(1+C$7))*((Bull!$K$10-Bull!$K$11)*(1-Bull!$K$12)+Bull!$K$13-Bull!$K$14)-((Bull!$K$20*(1+C$7))*Bull!$K$15-Bull!$K$30))/($A12-C$7)/(1+$A12)^Bull!$K$37)+Capital!$B$32-Capital!$B$19-Capital!$B$20-(Capital!$B$27+Capital!$B$25+Capital!$B$26+Capital!$B$28))/(Capital!$B$18+0)),(IF((((Bull!B32*Bull!B36/(1+$A12)^Bull!B37+Bull!C32*Bull!C36/(1+$A12)^Bull!C37+Bull!D32*Bull!D36/(1+$A12)^Bull!D37+Bull!E32*Bull!E36/(1+$A12)^Bull!E37+Bull!F32*Bull!F36/(1+$A12)^Bull!F37+Bull!G32*Bull!G36/(1+$A12)^Bull!G37+Bull!H32*Bull!H36/(1+$A12)^Bull!H37+Bull!I32*Bull!I36/(1+$A12)^Bull!I37+Bull!J32*Bull!J36/(1+$A12)^Bull!J37+Bull!K32*Bull!K36/(1+$A12)^Bull!K37+((Bull!$K$20*(1+C$7))*((Bull!$K$10-Bull!$K$11)*(1-Bull!$K$12)+Bull!$K$13-Bull!$K$14)-((Bull!$K$20*(1+C$7))*Bull!$K$15-Bull!$K$30))/($A12-C$7)/(1+$A12)^Bull!$K$37)+Capital!$B$32-Capital!$B$19-Capital!$B$20-(Capital!$B$25+Capital!$B$26+Capital!$B$28))/(Capital!$B$18+Capital!$D$27))&lt;Capital!$C$25,(((Bull!B32*Bull!B36/(1+$A12)^Bull!B37+Bull!C32*Bull!C36/(1+$A12)^Bull!C37+Bull!D32*Bull!D36/(1+$A12)^Bull!D37+Bull!E32*Bull!E36/(1+$A12)^Bull!E37+Bull!F32*Bull!F36/(1+$A12)^Bull!F37+Bull!G32*Bull!G36/(1+$A12)^Bull!G37+Bull!H32*Bull!H36/(1+$A12)^Bull!H37+Bull!I32*Bull!I36/(1+$A12)^Bull!I37+Bull!J32*Bull!J36/(1+$A12)^Bull!J37+Bull!K32*Bull!K36/(1+$A12)^Bull!K37+((Bull!$K$20*(1+C$7))*((Bull!$K$10-Bull!$K$11)*(1-Bull!$K$12)+Bull!$K$13-Bull!$K$14)-((Bull!$K$20*(1+C$7))*Bull!$K$15-Bull!$K$30))/($A12-C$7)/(1+$A12)^Bull!$K$37)+Capital!$B$32-Capital!$B$19-Capital!$B$20-(Capital!$B$25+Capital!$B$26+Capital!$B$28))/(Capital!$B$18+Capital!$D$27)),(IF((((Bull!B32*Bull!B36/(1+$A12)^Bull!B37+Bull!C32*Bull!C36/(1+$A12)^Bull!C37+Bull!D32*Bull!D36/(1+$A12)^Bull!D37+Bull!E32*Bull!E36/(1+$A12)^Bull!E37+Bull!F32*Bull!F36/(1+$A12)^Bull!F37+Bull!G32*Bull!G36/(1+$A12)^Bull!G37+Bull!H32*Bull!H36/(1+$A12)^Bull!H37+Bull!I32*Bull!I36/(1+$A12)^Bull!I37+Bull!J32*Bull!J36/(1+$A12)^Bull!J37+Bull!K32*Bull!K36/(1+$A12)^Bull!K37+((Bull!$K$20*(1+C$7))*((Bull!$K$10-Bull!$K$11)*(1-Bull!$K$12)+Bull!$K$13-Bull!$K$14)-((Bull!$K$20*(1+C$7))*Bull!$K$15-Bull!$K$30))/($A12-C$7)/(1+$A12)^Bull!$K$37)+Capital!$B$32-Capital!$B$19-Capital!$B$20-(Capital!$B$26+Capital!$B$28))/(Capital!$B$18+Capital!$D$27+Capital!$D$25))&lt;Capital!$C$26,(((Bull!B32*Bull!B36/(1+$A12)^Bull!B37+Bull!C32*Bull!C36/(1+$A12)^Bull!C37+Bull!D32*Bull!D36/(1+$A12)^Bull!D37+Bull!E32*Bull!E36/(1+$A12)^Bull!E37+Bull!F32*Bull!F36/(1+$A12)^Bull!F37+Bull!G32*Bull!G36/(1+$A12)^Bull!G37+Bull!H32*Bull!H36/(1+$A12)^Bull!H37+Bull!I32*Bull!I36/(1+$A12)^Bull!I37+Bull!J32*Bull!J36/(1+$A12)^Bull!J37+Bull!K32*Bull!K36/(1+$A12)^Bull!K37+((Bull!$K$20*(1+C$7))*((Bull!$K$10-Bull!$K$11)*(1-Bull!$K$12)+Bull!$K$13-Bull!$K$14)-((Bull!$K$20*(1+C$7))*Bull!$K$15-Bull!$K$30))/($A12-C$7)/(1+$A12)^Bull!$K$37)+Capital!$B$32-Capital!$B$19-Capital!$B$20-(Capital!$B$26+Capital!$B$28))/(Capital!$B$18+Capital!$D$27+Capital!$D$25)),(IF((((Bull!B32*Bull!B36/(1+$A12)^Bull!B37+Bull!C32*Bull!C36/(1+$A12)^Bull!C37+Bull!D32*Bull!D36/(1+$A12)^Bull!D37+Bull!E32*Bull!E36/(1+$A12)^Bull!E37+Bull!F32*Bull!F36/(1+$A12)^Bull!F37+Bull!G32*Bull!G36/(1+$A12)^Bull!G37+Bull!H32*Bull!H36/(1+$A12)^Bull!H37+Bull!I32*Bull!I36/(1+$A12)^Bull!I37+Bull!J32*Bull!J36/(1+$A12)^Bull!J37+Bull!K32*Bull!K36/(1+$A12)^Bull!K37+((Bull!$K$20*(1+C$7))*((Bull!$K$10-Bull!$K$11)*(1-Bull!$K$12)+Bull!$K$13-Bull!$K$14)-((Bull!$K$20*(1+C$7))*Bull!$K$15-Bull!$K$30))/($A12-C$7)/(1+$A12)^Bull!$K$37)+Capital!$B$32-Capital!$B$19-Capital!$B$20-(Capital!$B$28))/(Capital!$B$18+Capital!$D$27+Capital!$D$25+Capital!$D$26))&lt;Capital!$C$28,(((Bull!B32*Bull!B36/(1+$A12)^Bull!B37+Bull!C32*Bull!C36/(1+$A12)^Bull!C37+Bull!D32*Bull!D36/(1+$A12)^Bull!D37+Bull!E32*Bull!E36/(1+$A12)^Bull!E37+Bull!F32*Bull!F36/(1+$A12)^Bull!F37+Bull!G32*Bull!G36/(1+$A12)^Bull!G37+Bull!H32*Bull!H36/(1+$A12)^Bull!H37+Bull!I32*Bull!I36/(1+$A12)^Bull!I37+Bull!J32*Bull!J36/(1+$A12)^Bull!J37+Bull!K32*Bull!K36/(1+$A12)^Bull!K37+((Bull!$K$20*(1+C$7))*((Bull!$K$10-Bull!$K$11)*(1-Bull!$K$12)+Bull!$K$13-Bull!$K$14)-((Bull!$K$20*(1+C$7))*Bull!$K$15-Bull!$K$30))/($A12-C$7)/(1+$A12)^Bull!$K$37)+Capital!$B$32-Capital!$B$19-Capital!$B$20-(Capital!$B$28))/(Capital!$B$18+Capital!$D$27+Capital!$D$25+Capital!$D$26)),(((Bull!B32*Bull!B36/(1+$A12)^Bull!B37+Bull!C32*Bull!C36/(1+$A12)^Bull!C37+Bull!D32*Bull!D36/(1+$A12)^Bull!D37+Bull!E32*Bull!E36/(1+$A12)^Bull!E37+Bull!F32*Bull!F36/(1+$A12)^Bull!F37+Bull!G32*Bull!G36/(1+$A12)^Bull!G37+Bull!H32*Bull!H36/(1+$A12)^Bull!H37+Bull!I32*Bull!I36/(1+$A12)^Bull!I37+Bull!J32*Bull!J36/(1+$A12)^Bull!J37+Bull!K32*Bull!K36/(1+$A12)^Bull!K37+((Bull!$K$20*(1+C$7))*((Bull!$K$10-Bull!$K$11)*(1-Bull!$K$12)+Bull!$K$13-Bull!$K$14)-((Bull!$K$20*(1+C$7))*Bull!$K$15-Bull!$K$30))/($A12-C$7)/(1+$A12)^Bull!$K$37)+Capital!$B$32-Capital!$B$19-Capital!$B$20-(0))/(Capital!$B$18+Capital!$D$27+Capital!$D$25+Capital!$D$26+Capital!$D$28)))))))))</f>
        <v>252.43118365763542</v>
      </c>
      <c r="D12" s="3">
        <f>IF((((Bull!B32*Bull!B36/(1+$A12)^Bull!B37+Bull!C32*Bull!C36/(1+$A12)^Bull!C37+Bull!D32*Bull!D36/(1+$A12)^Bull!D37+Bull!E32*Bull!E36/(1+$A12)^Bull!E37+Bull!F32*Bull!F36/(1+$A12)^Bull!F37+Bull!G32*Bull!G36/(1+$A12)^Bull!G37+Bull!H32*Bull!H36/(1+$A12)^Bull!H37+Bull!I32*Bull!I36/(1+$A12)^Bull!I37+Bull!J32*Bull!J36/(1+$A12)^Bull!J37+Bull!K32*Bull!K36/(1+$A12)^Bull!K37+((Bull!$K$20*(1+D$7))*((Bull!$K$10-Bull!$K$11)*(1-Bull!$K$12)+Bull!$K$13-Bull!$K$14)-((Bull!$K$20*(1+D$7))*Bull!$K$15-Bull!$K$30))/($A12-D$7)/(1+$A12)^Bull!$K$37)+Capital!$B$32-Capital!$B$19-Capital!$B$20-(Capital!$B$27+Capital!$B$25+Capital!$B$26+Capital!$B$28))/(Capital!$B$18+0))&lt;Capital!$C$27,(((Bull!B32*Bull!B36/(1+$A12)^Bull!B37+Bull!C32*Bull!C36/(1+$A12)^Bull!C37+Bull!D32*Bull!D36/(1+$A12)^Bull!D37+Bull!E32*Bull!E36/(1+$A12)^Bull!E37+Bull!F32*Bull!F36/(1+$A12)^Bull!F37+Bull!G32*Bull!G36/(1+$A12)^Bull!G37+Bull!H32*Bull!H36/(1+$A12)^Bull!H37+Bull!I32*Bull!I36/(1+$A12)^Bull!I37+Bull!J32*Bull!J36/(1+$A12)^Bull!J37+Bull!K32*Bull!K36/(1+$A12)^Bull!K37+((Bull!$K$20*(1+D$7))*((Bull!$K$10-Bull!$K$11)*(1-Bull!$K$12)+Bull!$K$13-Bull!$K$14)-((Bull!$K$20*(1+D$7))*Bull!$K$15-Bull!$K$30))/($A12-D$7)/(1+$A12)^Bull!$K$37)+Capital!$B$32-Capital!$B$19-Capital!$B$20-(Capital!$B$27+Capital!$B$25+Capital!$B$26+Capital!$B$28))/(Capital!$B$18+0)),(IF((((Bull!B32*Bull!B36/(1+$A12)^Bull!B37+Bull!C32*Bull!C36/(1+$A12)^Bull!C37+Bull!D32*Bull!D36/(1+$A12)^Bull!D37+Bull!E32*Bull!E36/(1+$A12)^Bull!E37+Bull!F32*Bull!F36/(1+$A12)^Bull!F37+Bull!G32*Bull!G36/(1+$A12)^Bull!G37+Bull!H32*Bull!H36/(1+$A12)^Bull!H37+Bull!I32*Bull!I36/(1+$A12)^Bull!I37+Bull!J32*Bull!J36/(1+$A12)^Bull!J37+Bull!K32*Bull!K36/(1+$A12)^Bull!K37+((Bull!$K$20*(1+D$7))*((Bull!$K$10-Bull!$K$11)*(1-Bull!$K$12)+Bull!$K$13-Bull!$K$14)-((Bull!$K$20*(1+D$7))*Bull!$K$15-Bull!$K$30))/($A12-D$7)/(1+$A12)^Bull!$K$37)+Capital!$B$32-Capital!$B$19-Capital!$B$20-(Capital!$B$25+Capital!$B$26+Capital!$B$28))/(Capital!$B$18+Capital!$D$27))&lt;Capital!$C$25,(((Bull!B32*Bull!B36/(1+$A12)^Bull!B37+Bull!C32*Bull!C36/(1+$A12)^Bull!C37+Bull!D32*Bull!D36/(1+$A12)^Bull!D37+Bull!E32*Bull!E36/(1+$A12)^Bull!E37+Bull!F32*Bull!F36/(1+$A12)^Bull!F37+Bull!G32*Bull!G36/(1+$A12)^Bull!G37+Bull!H32*Bull!H36/(1+$A12)^Bull!H37+Bull!I32*Bull!I36/(1+$A12)^Bull!I37+Bull!J32*Bull!J36/(1+$A12)^Bull!J37+Bull!K32*Bull!K36/(1+$A12)^Bull!K37+((Bull!$K$20*(1+D$7))*((Bull!$K$10-Bull!$K$11)*(1-Bull!$K$12)+Bull!$K$13-Bull!$K$14)-((Bull!$K$20*(1+D$7))*Bull!$K$15-Bull!$K$30))/($A12-D$7)/(1+$A12)^Bull!$K$37)+Capital!$B$32-Capital!$B$19-Capital!$B$20-(Capital!$B$25+Capital!$B$26+Capital!$B$28))/(Capital!$B$18+Capital!$D$27)),(IF((((Bull!B32*Bull!B36/(1+$A12)^Bull!B37+Bull!C32*Bull!C36/(1+$A12)^Bull!C37+Bull!D32*Bull!D36/(1+$A12)^Bull!D37+Bull!E32*Bull!E36/(1+$A12)^Bull!E37+Bull!F32*Bull!F36/(1+$A12)^Bull!F37+Bull!G32*Bull!G36/(1+$A12)^Bull!G37+Bull!H32*Bull!H36/(1+$A12)^Bull!H37+Bull!I32*Bull!I36/(1+$A12)^Bull!I37+Bull!J32*Bull!J36/(1+$A12)^Bull!J37+Bull!K32*Bull!K36/(1+$A12)^Bull!K37+((Bull!$K$20*(1+D$7))*((Bull!$K$10-Bull!$K$11)*(1-Bull!$K$12)+Bull!$K$13-Bull!$K$14)-((Bull!$K$20*(1+D$7))*Bull!$K$15-Bull!$K$30))/($A12-D$7)/(1+$A12)^Bull!$K$37)+Capital!$B$32-Capital!$B$19-Capital!$B$20-(Capital!$B$26+Capital!$B$28))/(Capital!$B$18+Capital!$D$27+Capital!$D$25))&lt;Capital!$C$26,(((Bull!B32*Bull!B36/(1+$A12)^Bull!B37+Bull!C32*Bull!C36/(1+$A12)^Bull!C37+Bull!D32*Bull!D36/(1+$A12)^Bull!D37+Bull!E32*Bull!E36/(1+$A12)^Bull!E37+Bull!F32*Bull!F36/(1+$A12)^Bull!F37+Bull!G32*Bull!G36/(1+$A12)^Bull!G37+Bull!H32*Bull!H36/(1+$A12)^Bull!H37+Bull!I32*Bull!I36/(1+$A12)^Bull!I37+Bull!J32*Bull!J36/(1+$A12)^Bull!J37+Bull!K32*Bull!K36/(1+$A12)^Bull!K37+((Bull!$K$20*(1+D$7))*((Bull!$K$10-Bull!$K$11)*(1-Bull!$K$12)+Bull!$K$13-Bull!$K$14)-((Bull!$K$20*(1+D$7))*Bull!$K$15-Bull!$K$30))/($A12-D$7)/(1+$A12)^Bull!$K$37)+Capital!$B$32-Capital!$B$19-Capital!$B$20-(Capital!$B$26+Capital!$B$28))/(Capital!$B$18+Capital!$D$27+Capital!$D$25)),(IF((((Bull!B32*Bull!B36/(1+$A12)^Bull!B37+Bull!C32*Bull!C36/(1+$A12)^Bull!C37+Bull!D32*Bull!D36/(1+$A12)^Bull!D37+Bull!E32*Bull!E36/(1+$A12)^Bull!E37+Bull!F32*Bull!F36/(1+$A12)^Bull!F37+Bull!G32*Bull!G36/(1+$A12)^Bull!G37+Bull!H32*Bull!H36/(1+$A12)^Bull!H37+Bull!I32*Bull!I36/(1+$A12)^Bull!I37+Bull!J32*Bull!J36/(1+$A12)^Bull!J37+Bull!K32*Bull!K36/(1+$A12)^Bull!K37+((Bull!$K$20*(1+D$7))*((Bull!$K$10-Bull!$K$11)*(1-Bull!$K$12)+Bull!$K$13-Bull!$K$14)-((Bull!$K$20*(1+D$7))*Bull!$K$15-Bull!$K$30))/($A12-D$7)/(1+$A12)^Bull!$K$37)+Capital!$B$32-Capital!$B$19-Capital!$B$20-(Capital!$B$28))/(Capital!$B$18+Capital!$D$27+Capital!$D$25+Capital!$D$26))&lt;Capital!$C$28,(((Bull!B32*Bull!B36/(1+$A12)^Bull!B37+Bull!C32*Bull!C36/(1+$A12)^Bull!C37+Bull!D32*Bull!D36/(1+$A12)^Bull!D37+Bull!E32*Bull!E36/(1+$A12)^Bull!E37+Bull!F32*Bull!F36/(1+$A12)^Bull!F37+Bull!G32*Bull!G36/(1+$A12)^Bull!G37+Bull!H32*Bull!H36/(1+$A12)^Bull!H37+Bull!I32*Bull!I36/(1+$A12)^Bull!I37+Bull!J32*Bull!J36/(1+$A12)^Bull!J37+Bull!K32*Bull!K36/(1+$A12)^Bull!K37+((Bull!$K$20*(1+D$7))*((Bull!$K$10-Bull!$K$11)*(1-Bull!$K$12)+Bull!$K$13-Bull!$K$14)-((Bull!$K$20*(1+D$7))*Bull!$K$15-Bull!$K$30))/($A12-D$7)/(1+$A12)^Bull!$K$37)+Capital!$B$32-Capital!$B$19-Capital!$B$20-(Capital!$B$28))/(Capital!$B$18+Capital!$D$27+Capital!$D$25+Capital!$D$26)),(((Bull!B32*Bull!B36/(1+$A12)^Bull!B37+Bull!C32*Bull!C36/(1+$A12)^Bull!C37+Bull!D32*Bull!D36/(1+$A12)^Bull!D37+Bull!E32*Bull!E36/(1+$A12)^Bull!E37+Bull!F32*Bull!F36/(1+$A12)^Bull!F37+Bull!G32*Bull!G36/(1+$A12)^Bull!G37+Bull!H32*Bull!H36/(1+$A12)^Bull!H37+Bull!I32*Bull!I36/(1+$A12)^Bull!I37+Bull!J32*Bull!J36/(1+$A12)^Bull!J37+Bull!K32*Bull!K36/(1+$A12)^Bull!K37+((Bull!$K$20*(1+D$7))*((Bull!$K$10-Bull!$K$11)*(1-Bull!$K$12)+Bull!$K$13-Bull!$K$14)-((Bull!$K$20*(1+D$7))*Bull!$K$15-Bull!$K$30))/($A12-D$7)/(1+$A12)^Bull!$K$37)+Capital!$B$32-Capital!$B$19-Capital!$B$20-(0))/(Capital!$B$18+Capital!$D$27+Capital!$D$25+Capital!$D$26+Capital!$D$28)))))))))</f>
        <v>255.17164914561866</v>
      </c>
      <c r="E12" s="3">
        <f>IF((((Bull!B32*Bull!B36/(1+$A12)^Bull!B37+Bull!C32*Bull!C36/(1+$A12)^Bull!C37+Bull!D32*Bull!D36/(1+$A12)^Bull!D37+Bull!E32*Bull!E36/(1+$A12)^Bull!E37+Bull!F32*Bull!F36/(1+$A12)^Bull!F37+Bull!G32*Bull!G36/(1+$A12)^Bull!G37+Bull!H32*Bull!H36/(1+$A12)^Bull!H37+Bull!I32*Bull!I36/(1+$A12)^Bull!I37+Bull!J32*Bull!J36/(1+$A12)^Bull!J37+Bull!K32*Bull!K36/(1+$A12)^Bull!K37+((Bull!$K$20*(1+E$7))*((Bull!$K$10-Bull!$K$11)*(1-Bull!$K$12)+Bull!$K$13-Bull!$K$14)-((Bull!$K$20*(1+E$7))*Bull!$K$15-Bull!$K$30))/($A12-E$7)/(1+$A12)^Bull!$K$37)+Capital!$B$32-Capital!$B$19-Capital!$B$20-(Capital!$B$27+Capital!$B$25+Capital!$B$26+Capital!$B$28))/(Capital!$B$18+0))&lt;Capital!$C$27,(((Bull!B32*Bull!B36/(1+$A12)^Bull!B37+Bull!C32*Bull!C36/(1+$A12)^Bull!C37+Bull!D32*Bull!D36/(1+$A12)^Bull!D37+Bull!E32*Bull!E36/(1+$A12)^Bull!E37+Bull!F32*Bull!F36/(1+$A12)^Bull!F37+Bull!G32*Bull!G36/(1+$A12)^Bull!G37+Bull!H32*Bull!H36/(1+$A12)^Bull!H37+Bull!I32*Bull!I36/(1+$A12)^Bull!I37+Bull!J32*Bull!J36/(1+$A12)^Bull!J37+Bull!K32*Bull!K36/(1+$A12)^Bull!K37+((Bull!$K$20*(1+E$7))*((Bull!$K$10-Bull!$K$11)*(1-Bull!$K$12)+Bull!$K$13-Bull!$K$14)-((Bull!$K$20*(1+E$7))*Bull!$K$15-Bull!$K$30))/($A12-E$7)/(1+$A12)^Bull!$K$37)+Capital!$B$32-Capital!$B$19-Capital!$B$20-(Capital!$B$27+Capital!$B$25+Capital!$B$26+Capital!$B$28))/(Capital!$B$18+0)),(IF((((Bull!B32*Bull!B36/(1+$A12)^Bull!B37+Bull!C32*Bull!C36/(1+$A12)^Bull!C37+Bull!D32*Bull!D36/(1+$A12)^Bull!D37+Bull!E32*Bull!E36/(1+$A12)^Bull!E37+Bull!F32*Bull!F36/(1+$A12)^Bull!F37+Bull!G32*Bull!G36/(1+$A12)^Bull!G37+Bull!H32*Bull!H36/(1+$A12)^Bull!H37+Bull!I32*Bull!I36/(1+$A12)^Bull!I37+Bull!J32*Bull!J36/(1+$A12)^Bull!J37+Bull!K32*Bull!K36/(1+$A12)^Bull!K37+((Bull!$K$20*(1+E$7))*((Bull!$K$10-Bull!$K$11)*(1-Bull!$K$12)+Bull!$K$13-Bull!$K$14)-((Bull!$K$20*(1+E$7))*Bull!$K$15-Bull!$K$30))/($A12-E$7)/(1+$A12)^Bull!$K$37)+Capital!$B$32-Capital!$B$19-Capital!$B$20-(Capital!$B$25+Capital!$B$26+Capital!$B$28))/(Capital!$B$18+Capital!$D$27))&lt;Capital!$C$25,(((Bull!B32*Bull!B36/(1+$A12)^Bull!B37+Bull!C32*Bull!C36/(1+$A12)^Bull!C37+Bull!D32*Bull!D36/(1+$A12)^Bull!D37+Bull!E32*Bull!E36/(1+$A12)^Bull!E37+Bull!F32*Bull!F36/(1+$A12)^Bull!F37+Bull!G32*Bull!G36/(1+$A12)^Bull!G37+Bull!H32*Bull!H36/(1+$A12)^Bull!H37+Bull!I32*Bull!I36/(1+$A12)^Bull!I37+Bull!J32*Bull!J36/(1+$A12)^Bull!J37+Bull!K32*Bull!K36/(1+$A12)^Bull!K37+((Bull!$K$20*(1+E$7))*((Bull!$K$10-Bull!$K$11)*(1-Bull!$K$12)+Bull!$K$13-Bull!$K$14)-((Bull!$K$20*(1+E$7))*Bull!$K$15-Bull!$K$30))/($A12-E$7)/(1+$A12)^Bull!$K$37)+Capital!$B$32-Capital!$B$19-Capital!$B$20-(Capital!$B$25+Capital!$B$26+Capital!$B$28))/(Capital!$B$18+Capital!$D$27)),(IF((((Bull!B32*Bull!B36/(1+$A12)^Bull!B37+Bull!C32*Bull!C36/(1+$A12)^Bull!C37+Bull!D32*Bull!D36/(1+$A12)^Bull!D37+Bull!E32*Bull!E36/(1+$A12)^Bull!E37+Bull!F32*Bull!F36/(1+$A12)^Bull!F37+Bull!G32*Bull!G36/(1+$A12)^Bull!G37+Bull!H32*Bull!H36/(1+$A12)^Bull!H37+Bull!I32*Bull!I36/(1+$A12)^Bull!I37+Bull!J32*Bull!J36/(1+$A12)^Bull!J37+Bull!K32*Bull!K36/(1+$A12)^Bull!K37+((Bull!$K$20*(1+E$7))*((Bull!$K$10-Bull!$K$11)*(1-Bull!$K$12)+Bull!$K$13-Bull!$K$14)-((Bull!$K$20*(1+E$7))*Bull!$K$15-Bull!$K$30))/($A12-E$7)/(1+$A12)^Bull!$K$37)+Capital!$B$32-Capital!$B$19-Capital!$B$20-(Capital!$B$26+Capital!$B$28))/(Capital!$B$18+Capital!$D$27+Capital!$D$25))&lt;Capital!$C$26,(((Bull!B32*Bull!B36/(1+$A12)^Bull!B37+Bull!C32*Bull!C36/(1+$A12)^Bull!C37+Bull!D32*Bull!D36/(1+$A12)^Bull!D37+Bull!E32*Bull!E36/(1+$A12)^Bull!E37+Bull!F32*Bull!F36/(1+$A12)^Bull!F37+Bull!G32*Bull!G36/(1+$A12)^Bull!G37+Bull!H32*Bull!H36/(1+$A12)^Bull!H37+Bull!I32*Bull!I36/(1+$A12)^Bull!I37+Bull!J32*Bull!J36/(1+$A12)^Bull!J37+Bull!K32*Bull!K36/(1+$A12)^Bull!K37+((Bull!$K$20*(1+E$7))*((Bull!$K$10-Bull!$K$11)*(1-Bull!$K$12)+Bull!$K$13-Bull!$K$14)-((Bull!$K$20*(1+E$7))*Bull!$K$15-Bull!$K$30))/($A12-E$7)/(1+$A12)^Bull!$K$37)+Capital!$B$32-Capital!$B$19-Capital!$B$20-(Capital!$B$26+Capital!$B$28))/(Capital!$B$18+Capital!$D$27+Capital!$D$25)),(IF((((Bull!B32*Bull!B36/(1+$A12)^Bull!B37+Bull!C32*Bull!C36/(1+$A12)^Bull!C37+Bull!D32*Bull!D36/(1+$A12)^Bull!D37+Bull!E32*Bull!E36/(1+$A12)^Bull!E37+Bull!F32*Bull!F36/(1+$A12)^Bull!F37+Bull!G32*Bull!G36/(1+$A12)^Bull!G37+Bull!H32*Bull!H36/(1+$A12)^Bull!H37+Bull!I32*Bull!I36/(1+$A12)^Bull!I37+Bull!J32*Bull!J36/(1+$A12)^Bull!J37+Bull!K32*Bull!K36/(1+$A12)^Bull!K37+((Bull!$K$20*(1+E$7))*((Bull!$K$10-Bull!$K$11)*(1-Bull!$K$12)+Bull!$K$13-Bull!$K$14)-((Bull!$K$20*(1+E$7))*Bull!$K$15-Bull!$K$30))/($A12-E$7)/(1+$A12)^Bull!$K$37)+Capital!$B$32-Capital!$B$19-Capital!$B$20-(Capital!$B$28))/(Capital!$B$18+Capital!$D$27+Capital!$D$25+Capital!$D$26))&lt;Capital!$C$28,(((Bull!B32*Bull!B36/(1+$A12)^Bull!B37+Bull!C32*Bull!C36/(1+$A12)^Bull!C37+Bull!D32*Bull!D36/(1+$A12)^Bull!D37+Bull!E32*Bull!E36/(1+$A12)^Bull!E37+Bull!F32*Bull!F36/(1+$A12)^Bull!F37+Bull!G32*Bull!G36/(1+$A12)^Bull!G37+Bull!H32*Bull!H36/(1+$A12)^Bull!H37+Bull!I32*Bull!I36/(1+$A12)^Bull!I37+Bull!J32*Bull!J36/(1+$A12)^Bull!J37+Bull!K32*Bull!K36/(1+$A12)^Bull!K37+((Bull!$K$20*(1+E$7))*((Bull!$K$10-Bull!$K$11)*(1-Bull!$K$12)+Bull!$K$13-Bull!$K$14)-((Bull!$K$20*(1+E$7))*Bull!$K$15-Bull!$K$30))/($A12-E$7)/(1+$A12)^Bull!$K$37)+Capital!$B$32-Capital!$B$19-Capital!$B$20-(Capital!$B$28))/(Capital!$B$18+Capital!$D$27+Capital!$D$25+Capital!$D$26)),(((Bull!B32*Bull!B36/(1+$A12)^Bull!B37+Bull!C32*Bull!C36/(1+$A12)^Bull!C37+Bull!D32*Bull!D36/(1+$A12)^Bull!D37+Bull!E32*Bull!E36/(1+$A12)^Bull!E37+Bull!F32*Bull!F36/(1+$A12)^Bull!F37+Bull!G32*Bull!G36/(1+$A12)^Bull!G37+Bull!H32*Bull!H36/(1+$A12)^Bull!H37+Bull!I32*Bull!I36/(1+$A12)^Bull!I37+Bull!J32*Bull!J36/(1+$A12)^Bull!J37+Bull!K32*Bull!K36/(1+$A12)^Bull!K37+((Bull!$K$20*(1+E$7))*((Bull!$K$10-Bull!$K$11)*(1-Bull!$K$12)+Bull!$K$13-Bull!$K$14)-((Bull!$K$20*(1+E$7))*Bull!$K$15-Bull!$K$30))/($A12-E$7)/(1+$A12)^Bull!$K$37)+Capital!$B$32-Capital!$B$19-Capital!$B$20-(0))/(Capital!$B$18+Capital!$D$27+Capital!$D$25+Capital!$D$26+Capital!$D$28)))))))))</f>
        <v>258.13180565072486</v>
      </c>
      <c r="F12" s="3">
        <f>IF((((Bull!B32*Bull!B36/(1+$A12)^Bull!B37+Bull!C32*Bull!C36/(1+$A12)^Bull!C37+Bull!D32*Bull!D36/(1+$A12)^Bull!D37+Bull!E32*Bull!E36/(1+$A12)^Bull!E37+Bull!F32*Bull!F36/(1+$A12)^Bull!F37+Bull!G32*Bull!G36/(1+$A12)^Bull!G37+Bull!H32*Bull!H36/(1+$A12)^Bull!H37+Bull!I32*Bull!I36/(1+$A12)^Bull!I37+Bull!J32*Bull!J36/(1+$A12)^Bull!J37+Bull!K32*Bull!K36/(1+$A12)^Bull!K37+((Bull!$K$20*(1+F$7))*((Bull!$K$10-Bull!$K$11)*(1-Bull!$K$12)+Bull!$K$13-Bull!$K$14)-((Bull!$K$20*(1+F$7))*Bull!$K$15-Bull!$K$30))/($A12-F$7)/(1+$A12)^Bull!$K$37)+Capital!$B$32-Capital!$B$19-Capital!$B$20-(Capital!$B$27+Capital!$B$25+Capital!$B$26+Capital!$B$28))/(Capital!$B$18+0))&lt;Capital!$C$27,(((Bull!B32*Bull!B36/(1+$A12)^Bull!B37+Bull!C32*Bull!C36/(1+$A12)^Bull!C37+Bull!D32*Bull!D36/(1+$A12)^Bull!D37+Bull!E32*Bull!E36/(1+$A12)^Bull!E37+Bull!F32*Bull!F36/(1+$A12)^Bull!F37+Bull!G32*Bull!G36/(1+$A12)^Bull!G37+Bull!H32*Bull!H36/(1+$A12)^Bull!H37+Bull!I32*Bull!I36/(1+$A12)^Bull!I37+Bull!J32*Bull!J36/(1+$A12)^Bull!J37+Bull!K32*Bull!K36/(1+$A12)^Bull!K37+((Bull!$K$20*(1+F$7))*((Bull!$K$10-Bull!$K$11)*(1-Bull!$K$12)+Bull!$K$13-Bull!$K$14)-((Bull!$K$20*(1+F$7))*Bull!$K$15-Bull!$K$30))/($A12-F$7)/(1+$A12)^Bull!$K$37)+Capital!$B$32-Capital!$B$19-Capital!$B$20-(Capital!$B$27+Capital!$B$25+Capital!$B$26+Capital!$B$28))/(Capital!$B$18+0)),(IF((((Bull!B32*Bull!B36/(1+$A12)^Bull!B37+Bull!C32*Bull!C36/(1+$A12)^Bull!C37+Bull!D32*Bull!D36/(1+$A12)^Bull!D37+Bull!E32*Bull!E36/(1+$A12)^Bull!E37+Bull!F32*Bull!F36/(1+$A12)^Bull!F37+Bull!G32*Bull!G36/(1+$A12)^Bull!G37+Bull!H32*Bull!H36/(1+$A12)^Bull!H37+Bull!I32*Bull!I36/(1+$A12)^Bull!I37+Bull!J32*Bull!J36/(1+$A12)^Bull!J37+Bull!K32*Bull!K36/(1+$A12)^Bull!K37+((Bull!$K$20*(1+F$7))*((Bull!$K$10-Bull!$K$11)*(1-Bull!$K$12)+Bull!$K$13-Bull!$K$14)-((Bull!$K$20*(1+F$7))*Bull!$K$15-Bull!$K$30))/($A12-F$7)/(1+$A12)^Bull!$K$37)+Capital!$B$32-Capital!$B$19-Capital!$B$20-(Capital!$B$25+Capital!$B$26+Capital!$B$28))/(Capital!$B$18+Capital!$D$27))&lt;Capital!$C$25,(((Bull!B32*Bull!B36/(1+$A12)^Bull!B37+Bull!C32*Bull!C36/(1+$A12)^Bull!C37+Bull!D32*Bull!D36/(1+$A12)^Bull!D37+Bull!E32*Bull!E36/(1+$A12)^Bull!E37+Bull!F32*Bull!F36/(1+$A12)^Bull!F37+Bull!G32*Bull!G36/(1+$A12)^Bull!G37+Bull!H32*Bull!H36/(1+$A12)^Bull!H37+Bull!I32*Bull!I36/(1+$A12)^Bull!I37+Bull!J32*Bull!J36/(1+$A12)^Bull!J37+Bull!K32*Bull!K36/(1+$A12)^Bull!K37+((Bull!$K$20*(1+F$7))*((Bull!$K$10-Bull!$K$11)*(1-Bull!$K$12)+Bull!$K$13-Bull!$K$14)-((Bull!$K$20*(1+F$7))*Bull!$K$15-Bull!$K$30))/($A12-F$7)/(1+$A12)^Bull!$K$37)+Capital!$B$32-Capital!$B$19-Capital!$B$20-(Capital!$B$25+Capital!$B$26+Capital!$B$28))/(Capital!$B$18+Capital!$D$27)),(IF((((Bull!B32*Bull!B36/(1+$A12)^Bull!B37+Bull!C32*Bull!C36/(1+$A12)^Bull!C37+Bull!D32*Bull!D36/(1+$A12)^Bull!D37+Bull!E32*Bull!E36/(1+$A12)^Bull!E37+Bull!F32*Bull!F36/(1+$A12)^Bull!F37+Bull!G32*Bull!G36/(1+$A12)^Bull!G37+Bull!H32*Bull!H36/(1+$A12)^Bull!H37+Bull!I32*Bull!I36/(1+$A12)^Bull!I37+Bull!J32*Bull!J36/(1+$A12)^Bull!J37+Bull!K32*Bull!K36/(1+$A12)^Bull!K37+((Bull!$K$20*(1+F$7))*((Bull!$K$10-Bull!$K$11)*(1-Bull!$K$12)+Bull!$K$13-Bull!$K$14)-((Bull!$K$20*(1+F$7))*Bull!$K$15-Bull!$K$30))/($A12-F$7)/(1+$A12)^Bull!$K$37)+Capital!$B$32-Capital!$B$19-Capital!$B$20-(Capital!$B$26+Capital!$B$28))/(Capital!$B$18+Capital!$D$27+Capital!$D$25))&lt;Capital!$C$26,(((Bull!B32*Bull!B36/(1+$A12)^Bull!B37+Bull!C32*Bull!C36/(1+$A12)^Bull!C37+Bull!D32*Bull!D36/(1+$A12)^Bull!D37+Bull!E32*Bull!E36/(1+$A12)^Bull!E37+Bull!F32*Bull!F36/(1+$A12)^Bull!F37+Bull!G32*Bull!G36/(1+$A12)^Bull!G37+Bull!H32*Bull!H36/(1+$A12)^Bull!H37+Bull!I32*Bull!I36/(1+$A12)^Bull!I37+Bull!J32*Bull!J36/(1+$A12)^Bull!J37+Bull!K32*Bull!K36/(1+$A12)^Bull!K37+((Bull!$K$20*(1+F$7))*((Bull!$K$10-Bull!$K$11)*(1-Bull!$K$12)+Bull!$K$13-Bull!$K$14)-((Bull!$K$20*(1+F$7))*Bull!$K$15-Bull!$K$30))/($A12-F$7)/(1+$A12)^Bull!$K$37)+Capital!$B$32-Capital!$B$19-Capital!$B$20-(Capital!$B$26+Capital!$B$28))/(Capital!$B$18+Capital!$D$27+Capital!$D$25)),(IF((((Bull!B32*Bull!B36/(1+$A12)^Bull!B37+Bull!C32*Bull!C36/(1+$A12)^Bull!C37+Bull!D32*Bull!D36/(1+$A12)^Bull!D37+Bull!E32*Bull!E36/(1+$A12)^Bull!E37+Bull!F32*Bull!F36/(1+$A12)^Bull!F37+Bull!G32*Bull!G36/(1+$A12)^Bull!G37+Bull!H32*Bull!H36/(1+$A12)^Bull!H37+Bull!I32*Bull!I36/(1+$A12)^Bull!I37+Bull!J32*Bull!J36/(1+$A12)^Bull!J37+Bull!K32*Bull!K36/(1+$A12)^Bull!K37+((Bull!$K$20*(1+F$7))*((Bull!$K$10-Bull!$K$11)*(1-Bull!$K$12)+Bull!$K$13-Bull!$K$14)-((Bull!$K$20*(1+F$7))*Bull!$K$15-Bull!$K$30))/($A12-F$7)/(1+$A12)^Bull!$K$37)+Capital!$B$32-Capital!$B$19-Capital!$B$20-(Capital!$B$28))/(Capital!$B$18+Capital!$D$27+Capital!$D$25+Capital!$D$26))&lt;Capital!$C$28,(((Bull!B32*Bull!B36/(1+$A12)^Bull!B37+Bull!C32*Bull!C36/(1+$A12)^Bull!C37+Bull!D32*Bull!D36/(1+$A12)^Bull!D37+Bull!E32*Bull!E36/(1+$A12)^Bull!E37+Bull!F32*Bull!F36/(1+$A12)^Bull!F37+Bull!G32*Bull!G36/(1+$A12)^Bull!G37+Bull!H32*Bull!H36/(1+$A12)^Bull!H37+Bull!I32*Bull!I36/(1+$A12)^Bull!I37+Bull!J32*Bull!J36/(1+$A12)^Bull!J37+Bull!K32*Bull!K36/(1+$A12)^Bull!K37+((Bull!$K$20*(1+F$7))*((Bull!$K$10-Bull!$K$11)*(1-Bull!$K$12)+Bull!$K$13-Bull!$K$14)-((Bull!$K$20*(1+F$7))*Bull!$K$15-Bull!$K$30))/($A12-F$7)/(1+$A12)^Bull!$K$37)+Capital!$B$32-Capital!$B$19-Capital!$B$20-(Capital!$B$28))/(Capital!$B$18+Capital!$D$27+Capital!$D$25+Capital!$D$26)),(((Bull!B32*Bull!B36/(1+$A12)^Bull!B37+Bull!C32*Bull!C36/(1+$A12)^Bull!C37+Bull!D32*Bull!D36/(1+$A12)^Bull!D37+Bull!E32*Bull!E36/(1+$A12)^Bull!E37+Bull!F32*Bull!F36/(1+$A12)^Bull!F37+Bull!G32*Bull!G36/(1+$A12)^Bull!G37+Bull!H32*Bull!H36/(1+$A12)^Bull!H37+Bull!I32*Bull!I36/(1+$A12)^Bull!I37+Bull!J32*Bull!J36/(1+$A12)^Bull!J37+Bull!K32*Bull!K36/(1+$A12)^Bull!K37+((Bull!$K$20*(1+F$7))*((Bull!$K$10-Bull!$K$11)*(1-Bull!$K$12)+Bull!$K$13-Bull!$K$14)-((Bull!$K$20*(1+F$7))*Bull!$K$15-Bull!$K$30))/($A12-F$7)/(1+$A12)^Bull!$K$37)+Capital!$B$32-Capital!$B$19-Capital!$B$20-(0))/(Capital!$B$18+Capital!$D$27+Capital!$D$25+Capital!$D$26+Capital!$D$28)))))))))</f>
        <v>261.33917376318476</v>
      </c>
    </row>
    <row r="16" spans="1:11" ht="24" customHeight="1" x14ac:dyDescent="0.35">
      <c r="A16" s="11" t="s">
        <v>242</v>
      </c>
      <c r="B16" s="11"/>
      <c r="C16" s="11"/>
      <c r="D16" s="11"/>
      <c r="E16" s="11"/>
      <c r="F16" s="11"/>
      <c r="G16" s="11"/>
      <c r="H16" s="11"/>
      <c r="I16" s="11"/>
      <c r="J16" s="11"/>
      <c r="K16" s="11"/>
    </row>
    <row r="18" spans="1:11" x14ac:dyDescent="0.35">
      <c r="B18" s="6">
        <v>12</v>
      </c>
      <c r="C18" s="6">
        <v>14</v>
      </c>
      <c r="D18" s="6">
        <v>16</v>
      </c>
      <c r="E18" s="6">
        <v>18</v>
      </c>
      <c r="F18" s="6">
        <v>20</v>
      </c>
    </row>
    <row r="19" spans="1:11" ht="15.5" x14ac:dyDescent="0.35">
      <c r="A19" s="7">
        <v>0.1197418089220295</v>
      </c>
      <c r="B19" s="3">
        <f>IF((((Bull!B32*Bull!B36/(1+$A19)^Bull!B37+Bull!C32*Bull!C36/(1+$A19)^Bull!C37+Bull!D32*Bull!D36/(1+$A19)^Bull!D37+Bull!E32*Bull!E36/(1+$A19)^Bull!E37+Bull!F32*Bull!F36/(1+$A19)^Bull!F37+Bull!G32*Bull!G36/(1+$A19)^Bull!G37+Bull!H32*Bull!H36/(1+$A19)^Bull!H37+Bull!I32*Bull!I36/(1+$A19)^Bull!I37+Bull!J32*Bull!J36/(1+$A19)^Bull!J37+Bull!K32*Bull!K36/(1+$A19)^Bull!K37+Bull!$K$34*B$18/(1+$A19)^Bull!$K$37)+Capital!$B$32-Capital!$B$19-Capital!$B$20-(Capital!$B$27+Capital!$B$25+Capital!$B$26+Capital!$B$28))/(Capital!$B$18+0))&lt;Capital!$C$27,(((Bull!B32*Bull!B36/(1+$A19)^Bull!B37+Bull!C32*Bull!C36/(1+$A19)^Bull!C37+Bull!D32*Bull!D36/(1+$A19)^Bull!D37+Bull!E32*Bull!E36/(1+$A19)^Bull!E37+Bull!F32*Bull!F36/(1+$A19)^Bull!F37+Bull!G32*Bull!G36/(1+$A19)^Bull!G37+Bull!H32*Bull!H36/(1+$A19)^Bull!H37+Bull!I32*Bull!I36/(1+$A19)^Bull!I37+Bull!J32*Bull!J36/(1+$A19)^Bull!J37+Bull!K32*Bull!K36/(1+$A19)^Bull!K37+Bull!$K$34*B$18/(1+$A19)^Bull!$K$37)+Capital!$B$32-Capital!$B$19-Capital!$B$20-(Capital!$B$27+Capital!$B$25+Capital!$B$26+Capital!$B$28))/(Capital!$B$18+0)),(IF((((Bull!B32*Bull!B36/(1+$A19)^Bull!B37+Bull!C32*Bull!C36/(1+$A19)^Bull!C37+Bull!D32*Bull!D36/(1+$A19)^Bull!D37+Bull!E32*Bull!E36/(1+$A19)^Bull!E37+Bull!F32*Bull!F36/(1+$A19)^Bull!F37+Bull!G32*Bull!G36/(1+$A19)^Bull!G37+Bull!H32*Bull!H36/(1+$A19)^Bull!H37+Bull!I32*Bull!I36/(1+$A19)^Bull!I37+Bull!J32*Bull!J36/(1+$A19)^Bull!J37+Bull!K32*Bull!K36/(1+$A19)^Bull!K37+Bull!$K$34*B$18/(1+$A19)^Bull!$K$37)+Capital!$B$32-Capital!$B$19-Capital!$B$20-(Capital!$B$25+Capital!$B$26+Capital!$B$28))/(Capital!$B$18+Capital!$D$27))&lt;Capital!$C$25,(((Bull!B32*Bull!B36/(1+$A19)^Bull!B37+Bull!C32*Bull!C36/(1+$A19)^Bull!C37+Bull!D32*Bull!D36/(1+$A19)^Bull!D37+Bull!E32*Bull!E36/(1+$A19)^Bull!E37+Bull!F32*Bull!F36/(1+$A19)^Bull!F37+Bull!G32*Bull!G36/(1+$A19)^Bull!G37+Bull!H32*Bull!H36/(1+$A19)^Bull!H37+Bull!I32*Bull!I36/(1+$A19)^Bull!I37+Bull!J32*Bull!J36/(1+$A19)^Bull!J37+Bull!K32*Bull!K36/(1+$A19)^Bull!K37+Bull!$K$34*B$18/(1+$A19)^Bull!$K$37)+Capital!$B$32-Capital!$B$19-Capital!$B$20-(Capital!$B$25+Capital!$B$26+Capital!$B$28))/(Capital!$B$18+Capital!$D$27)),(IF((((Bull!B32*Bull!B36/(1+$A19)^Bull!B37+Bull!C32*Bull!C36/(1+$A19)^Bull!C37+Bull!D32*Bull!D36/(1+$A19)^Bull!D37+Bull!E32*Bull!E36/(1+$A19)^Bull!E37+Bull!F32*Bull!F36/(1+$A19)^Bull!F37+Bull!G32*Bull!G36/(1+$A19)^Bull!G37+Bull!H32*Bull!H36/(1+$A19)^Bull!H37+Bull!I32*Bull!I36/(1+$A19)^Bull!I37+Bull!J32*Bull!J36/(1+$A19)^Bull!J37+Bull!K32*Bull!K36/(1+$A19)^Bull!K37+Bull!$K$34*B$18/(1+$A19)^Bull!$K$37)+Capital!$B$32-Capital!$B$19-Capital!$B$20-(Capital!$B$26+Capital!$B$28))/(Capital!$B$18+Capital!$D$27+Capital!$D$25))&lt;Capital!$C$26,(((Bull!B32*Bull!B36/(1+$A19)^Bull!B37+Bull!C32*Bull!C36/(1+$A19)^Bull!C37+Bull!D32*Bull!D36/(1+$A19)^Bull!D37+Bull!E32*Bull!E36/(1+$A19)^Bull!E37+Bull!F32*Bull!F36/(1+$A19)^Bull!F37+Bull!G32*Bull!G36/(1+$A19)^Bull!G37+Bull!H32*Bull!H36/(1+$A19)^Bull!H37+Bull!I32*Bull!I36/(1+$A19)^Bull!I37+Bull!J32*Bull!J36/(1+$A19)^Bull!J37+Bull!K32*Bull!K36/(1+$A19)^Bull!K37+Bull!$K$34*B$18/(1+$A19)^Bull!$K$37)+Capital!$B$32-Capital!$B$19-Capital!$B$20-(Capital!$B$26+Capital!$B$28))/(Capital!$B$18+Capital!$D$27+Capital!$D$25)),(IF((((Bull!B32*Bull!B36/(1+$A19)^Bull!B37+Bull!C32*Bull!C36/(1+$A19)^Bull!C37+Bull!D32*Bull!D36/(1+$A19)^Bull!D37+Bull!E32*Bull!E36/(1+$A19)^Bull!E37+Bull!F32*Bull!F36/(1+$A19)^Bull!F37+Bull!G32*Bull!G36/(1+$A19)^Bull!G37+Bull!H32*Bull!H36/(1+$A19)^Bull!H37+Bull!I32*Bull!I36/(1+$A19)^Bull!I37+Bull!J32*Bull!J36/(1+$A19)^Bull!J37+Bull!K32*Bull!K36/(1+$A19)^Bull!K37+Bull!$K$34*B$18/(1+$A19)^Bull!$K$37)+Capital!$B$32-Capital!$B$19-Capital!$B$20-(Capital!$B$28))/(Capital!$B$18+Capital!$D$27+Capital!$D$25+Capital!$D$26))&lt;Capital!$C$28,(((Bull!B32*Bull!B36/(1+$A19)^Bull!B37+Bull!C32*Bull!C36/(1+$A19)^Bull!C37+Bull!D32*Bull!D36/(1+$A19)^Bull!D37+Bull!E32*Bull!E36/(1+$A19)^Bull!E37+Bull!F32*Bull!F36/(1+$A19)^Bull!F37+Bull!G32*Bull!G36/(1+$A19)^Bull!G37+Bull!H32*Bull!H36/(1+$A19)^Bull!H37+Bull!I32*Bull!I36/(1+$A19)^Bull!I37+Bull!J32*Bull!J36/(1+$A19)^Bull!J37+Bull!K32*Bull!K36/(1+$A19)^Bull!K37+Bull!$K$34*B$18/(1+$A19)^Bull!$K$37)+Capital!$B$32-Capital!$B$19-Capital!$B$20-(Capital!$B$28))/(Capital!$B$18+Capital!$D$27+Capital!$D$25+Capital!$D$26)),(((Bull!B32*Bull!B36/(1+$A19)^Bull!B37+Bull!C32*Bull!C36/(1+$A19)^Bull!C37+Bull!D32*Bull!D36/(1+$A19)^Bull!D37+Bull!E32*Bull!E36/(1+$A19)^Bull!E37+Bull!F32*Bull!F36/(1+$A19)^Bull!F37+Bull!G32*Bull!G36/(1+$A19)^Bull!G37+Bull!H32*Bull!H36/(1+$A19)^Bull!H37+Bull!I32*Bull!I36/(1+$A19)^Bull!I37+Bull!J32*Bull!J36/(1+$A19)^Bull!J37+Bull!K32*Bull!K36/(1+$A19)^Bull!K37+Bull!$K$34*B$18/(1+$A19)^Bull!$K$37)+Capital!$B$32-Capital!$B$19-Capital!$B$20-(0))/(Capital!$B$18+Capital!$D$27+Capital!$D$25+Capital!$D$26+Capital!$D$28)))))))))</f>
        <v>482.69301117839018</v>
      </c>
      <c r="C19" s="3">
        <f>IF((((Bull!B32*Bull!B36/(1+$A19)^Bull!B37+Bull!C32*Bull!C36/(1+$A19)^Bull!C37+Bull!D32*Bull!D36/(1+$A19)^Bull!D37+Bull!E32*Bull!E36/(1+$A19)^Bull!E37+Bull!F32*Bull!F36/(1+$A19)^Bull!F37+Bull!G32*Bull!G36/(1+$A19)^Bull!G37+Bull!H32*Bull!H36/(1+$A19)^Bull!H37+Bull!I32*Bull!I36/(1+$A19)^Bull!I37+Bull!J32*Bull!J36/(1+$A19)^Bull!J37+Bull!K32*Bull!K36/(1+$A19)^Bull!K37+Bull!$K$34*C$18/(1+$A19)^Bull!$K$37)+Capital!$B$32-Capital!$B$19-Capital!$B$20-(Capital!$B$27+Capital!$B$25+Capital!$B$26+Capital!$B$28))/(Capital!$B$18+0))&lt;Capital!$C$27,(((Bull!B32*Bull!B36/(1+$A19)^Bull!B37+Bull!C32*Bull!C36/(1+$A19)^Bull!C37+Bull!D32*Bull!D36/(1+$A19)^Bull!D37+Bull!E32*Bull!E36/(1+$A19)^Bull!E37+Bull!F32*Bull!F36/(1+$A19)^Bull!F37+Bull!G32*Bull!G36/(1+$A19)^Bull!G37+Bull!H32*Bull!H36/(1+$A19)^Bull!H37+Bull!I32*Bull!I36/(1+$A19)^Bull!I37+Bull!J32*Bull!J36/(1+$A19)^Bull!J37+Bull!K32*Bull!K36/(1+$A19)^Bull!K37+Bull!$K$34*C$18/(1+$A19)^Bull!$K$37)+Capital!$B$32-Capital!$B$19-Capital!$B$20-(Capital!$B$27+Capital!$B$25+Capital!$B$26+Capital!$B$28))/(Capital!$B$18+0)),(IF((((Bull!B32*Bull!B36/(1+$A19)^Bull!B37+Bull!C32*Bull!C36/(1+$A19)^Bull!C37+Bull!D32*Bull!D36/(1+$A19)^Bull!D37+Bull!E32*Bull!E36/(1+$A19)^Bull!E37+Bull!F32*Bull!F36/(1+$A19)^Bull!F37+Bull!G32*Bull!G36/(1+$A19)^Bull!G37+Bull!H32*Bull!H36/(1+$A19)^Bull!H37+Bull!I32*Bull!I36/(1+$A19)^Bull!I37+Bull!J32*Bull!J36/(1+$A19)^Bull!J37+Bull!K32*Bull!K36/(1+$A19)^Bull!K37+Bull!$K$34*C$18/(1+$A19)^Bull!$K$37)+Capital!$B$32-Capital!$B$19-Capital!$B$20-(Capital!$B$25+Capital!$B$26+Capital!$B$28))/(Capital!$B$18+Capital!$D$27))&lt;Capital!$C$25,(((Bull!B32*Bull!B36/(1+$A19)^Bull!B37+Bull!C32*Bull!C36/(1+$A19)^Bull!C37+Bull!D32*Bull!D36/(1+$A19)^Bull!D37+Bull!E32*Bull!E36/(1+$A19)^Bull!E37+Bull!F32*Bull!F36/(1+$A19)^Bull!F37+Bull!G32*Bull!G36/(1+$A19)^Bull!G37+Bull!H32*Bull!H36/(1+$A19)^Bull!H37+Bull!I32*Bull!I36/(1+$A19)^Bull!I37+Bull!J32*Bull!J36/(1+$A19)^Bull!J37+Bull!K32*Bull!K36/(1+$A19)^Bull!K37+Bull!$K$34*C$18/(1+$A19)^Bull!$K$37)+Capital!$B$32-Capital!$B$19-Capital!$B$20-(Capital!$B$25+Capital!$B$26+Capital!$B$28))/(Capital!$B$18+Capital!$D$27)),(IF((((Bull!B32*Bull!B36/(1+$A19)^Bull!B37+Bull!C32*Bull!C36/(1+$A19)^Bull!C37+Bull!D32*Bull!D36/(1+$A19)^Bull!D37+Bull!E32*Bull!E36/(1+$A19)^Bull!E37+Bull!F32*Bull!F36/(1+$A19)^Bull!F37+Bull!G32*Bull!G36/(1+$A19)^Bull!G37+Bull!H32*Bull!H36/(1+$A19)^Bull!H37+Bull!I32*Bull!I36/(1+$A19)^Bull!I37+Bull!J32*Bull!J36/(1+$A19)^Bull!J37+Bull!K32*Bull!K36/(1+$A19)^Bull!K37+Bull!$K$34*C$18/(1+$A19)^Bull!$K$37)+Capital!$B$32-Capital!$B$19-Capital!$B$20-(Capital!$B$26+Capital!$B$28))/(Capital!$B$18+Capital!$D$27+Capital!$D$25))&lt;Capital!$C$26,(((Bull!B32*Bull!B36/(1+$A19)^Bull!B37+Bull!C32*Bull!C36/(1+$A19)^Bull!C37+Bull!D32*Bull!D36/(1+$A19)^Bull!D37+Bull!E32*Bull!E36/(1+$A19)^Bull!E37+Bull!F32*Bull!F36/(1+$A19)^Bull!F37+Bull!G32*Bull!G36/(1+$A19)^Bull!G37+Bull!H32*Bull!H36/(1+$A19)^Bull!H37+Bull!I32*Bull!I36/(1+$A19)^Bull!I37+Bull!J32*Bull!J36/(1+$A19)^Bull!J37+Bull!K32*Bull!K36/(1+$A19)^Bull!K37+Bull!$K$34*C$18/(1+$A19)^Bull!$K$37)+Capital!$B$32-Capital!$B$19-Capital!$B$20-(Capital!$B$26+Capital!$B$28))/(Capital!$B$18+Capital!$D$27+Capital!$D$25)),(IF((((Bull!B32*Bull!B36/(1+$A19)^Bull!B37+Bull!C32*Bull!C36/(1+$A19)^Bull!C37+Bull!D32*Bull!D36/(1+$A19)^Bull!D37+Bull!E32*Bull!E36/(1+$A19)^Bull!E37+Bull!F32*Bull!F36/(1+$A19)^Bull!F37+Bull!G32*Bull!G36/(1+$A19)^Bull!G37+Bull!H32*Bull!H36/(1+$A19)^Bull!H37+Bull!I32*Bull!I36/(1+$A19)^Bull!I37+Bull!J32*Bull!J36/(1+$A19)^Bull!J37+Bull!K32*Bull!K36/(1+$A19)^Bull!K37+Bull!$K$34*C$18/(1+$A19)^Bull!$K$37)+Capital!$B$32-Capital!$B$19-Capital!$B$20-(Capital!$B$28))/(Capital!$B$18+Capital!$D$27+Capital!$D$25+Capital!$D$26))&lt;Capital!$C$28,(((Bull!B32*Bull!B36/(1+$A19)^Bull!B37+Bull!C32*Bull!C36/(1+$A19)^Bull!C37+Bull!D32*Bull!D36/(1+$A19)^Bull!D37+Bull!E32*Bull!E36/(1+$A19)^Bull!E37+Bull!F32*Bull!F36/(1+$A19)^Bull!F37+Bull!G32*Bull!G36/(1+$A19)^Bull!G37+Bull!H32*Bull!H36/(1+$A19)^Bull!H37+Bull!I32*Bull!I36/(1+$A19)^Bull!I37+Bull!J32*Bull!J36/(1+$A19)^Bull!J37+Bull!K32*Bull!K36/(1+$A19)^Bull!K37+Bull!$K$34*C$18/(1+$A19)^Bull!$K$37)+Capital!$B$32-Capital!$B$19-Capital!$B$20-(Capital!$B$28))/(Capital!$B$18+Capital!$D$27+Capital!$D$25+Capital!$D$26)),(((Bull!B32*Bull!B36/(1+$A19)^Bull!B37+Bull!C32*Bull!C36/(1+$A19)^Bull!C37+Bull!D32*Bull!D36/(1+$A19)^Bull!D37+Bull!E32*Bull!E36/(1+$A19)^Bull!E37+Bull!F32*Bull!F36/(1+$A19)^Bull!F37+Bull!G32*Bull!G36/(1+$A19)^Bull!G37+Bull!H32*Bull!H36/(1+$A19)^Bull!H37+Bull!I32*Bull!I36/(1+$A19)^Bull!I37+Bull!J32*Bull!J36/(1+$A19)^Bull!J37+Bull!K32*Bull!K36/(1+$A19)^Bull!K37+Bull!$K$34*C$18/(1+$A19)^Bull!$K$37)+Capital!$B$32-Capital!$B$19-Capital!$B$20-(0))/(Capital!$B$18+Capital!$D$27+Capital!$D$25+Capital!$D$26+Capital!$D$28)))))))))</f>
        <v>527.79853899438456</v>
      </c>
      <c r="D19" s="3">
        <f>IF((((Bull!B32*Bull!B36/(1+$A19)^Bull!B37+Bull!C32*Bull!C36/(1+$A19)^Bull!C37+Bull!D32*Bull!D36/(1+$A19)^Bull!D37+Bull!E32*Bull!E36/(1+$A19)^Bull!E37+Bull!F32*Bull!F36/(1+$A19)^Bull!F37+Bull!G32*Bull!G36/(1+$A19)^Bull!G37+Bull!H32*Bull!H36/(1+$A19)^Bull!H37+Bull!I32*Bull!I36/(1+$A19)^Bull!I37+Bull!J32*Bull!J36/(1+$A19)^Bull!J37+Bull!K32*Bull!K36/(1+$A19)^Bull!K37+Bull!$K$34*D$18/(1+$A19)^Bull!$K$37)+Capital!$B$32-Capital!$B$19-Capital!$B$20-(Capital!$B$27+Capital!$B$25+Capital!$B$26+Capital!$B$28))/(Capital!$B$18+0))&lt;Capital!$C$27,(((Bull!B32*Bull!B36/(1+$A19)^Bull!B37+Bull!C32*Bull!C36/(1+$A19)^Bull!C37+Bull!D32*Bull!D36/(1+$A19)^Bull!D37+Bull!E32*Bull!E36/(1+$A19)^Bull!E37+Bull!F32*Bull!F36/(1+$A19)^Bull!F37+Bull!G32*Bull!G36/(1+$A19)^Bull!G37+Bull!H32*Bull!H36/(1+$A19)^Bull!H37+Bull!I32*Bull!I36/(1+$A19)^Bull!I37+Bull!J32*Bull!J36/(1+$A19)^Bull!J37+Bull!K32*Bull!K36/(1+$A19)^Bull!K37+Bull!$K$34*D$18/(1+$A19)^Bull!$K$37)+Capital!$B$32-Capital!$B$19-Capital!$B$20-(Capital!$B$27+Capital!$B$25+Capital!$B$26+Capital!$B$28))/(Capital!$B$18+0)),(IF((((Bull!B32*Bull!B36/(1+$A19)^Bull!B37+Bull!C32*Bull!C36/(1+$A19)^Bull!C37+Bull!D32*Bull!D36/(1+$A19)^Bull!D37+Bull!E32*Bull!E36/(1+$A19)^Bull!E37+Bull!F32*Bull!F36/(1+$A19)^Bull!F37+Bull!G32*Bull!G36/(1+$A19)^Bull!G37+Bull!H32*Bull!H36/(1+$A19)^Bull!H37+Bull!I32*Bull!I36/(1+$A19)^Bull!I37+Bull!J32*Bull!J36/(1+$A19)^Bull!J37+Bull!K32*Bull!K36/(1+$A19)^Bull!K37+Bull!$K$34*D$18/(1+$A19)^Bull!$K$37)+Capital!$B$32-Capital!$B$19-Capital!$B$20-(Capital!$B$25+Capital!$B$26+Capital!$B$28))/(Capital!$B$18+Capital!$D$27))&lt;Capital!$C$25,(((Bull!B32*Bull!B36/(1+$A19)^Bull!B37+Bull!C32*Bull!C36/(1+$A19)^Bull!C37+Bull!D32*Bull!D36/(1+$A19)^Bull!D37+Bull!E32*Bull!E36/(1+$A19)^Bull!E37+Bull!F32*Bull!F36/(1+$A19)^Bull!F37+Bull!G32*Bull!G36/(1+$A19)^Bull!G37+Bull!H32*Bull!H36/(1+$A19)^Bull!H37+Bull!I32*Bull!I36/(1+$A19)^Bull!I37+Bull!J32*Bull!J36/(1+$A19)^Bull!J37+Bull!K32*Bull!K36/(1+$A19)^Bull!K37+Bull!$K$34*D$18/(1+$A19)^Bull!$K$37)+Capital!$B$32-Capital!$B$19-Capital!$B$20-(Capital!$B$25+Capital!$B$26+Capital!$B$28))/(Capital!$B$18+Capital!$D$27)),(IF((((Bull!B32*Bull!B36/(1+$A19)^Bull!B37+Bull!C32*Bull!C36/(1+$A19)^Bull!C37+Bull!D32*Bull!D36/(1+$A19)^Bull!D37+Bull!E32*Bull!E36/(1+$A19)^Bull!E37+Bull!F32*Bull!F36/(1+$A19)^Bull!F37+Bull!G32*Bull!G36/(1+$A19)^Bull!G37+Bull!H32*Bull!H36/(1+$A19)^Bull!H37+Bull!I32*Bull!I36/(1+$A19)^Bull!I37+Bull!J32*Bull!J36/(1+$A19)^Bull!J37+Bull!K32*Bull!K36/(1+$A19)^Bull!K37+Bull!$K$34*D$18/(1+$A19)^Bull!$K$37)+Capital!$B$32-Capital!$B$19-Capital!$B$20-(Capital!$B$26+Capital!$B$28))/(Capital!$B$18+Capital!$D$27+Capital!$D$25))&lt;Capital!$C$26,(((Bull!B32*Bull!B36/(1+$A19)^Bull!B37+Bull!C32*Bull!C36/(1+$A19)^Bull!C37+Bull!D32*Bull!D36/(1+$A19)^Bull!D37+Bull!E32*Bull!E36/(1+$A19)^Bull!E37+Bull!F32*Bull!F36/(1+$A19)^Bull!F37+Bull!G32*Bull!G36/(1+$A19)^Bull!G37+Bull!H32*Bull!H36/(1+$A19)^Bull!H37+Bull!I32*Bull!I36/(1+$A19)^Bull!I37+Bull!J32*Bull!J36/(1+$A19)^Bull!J37+Bull!K32*Bull!K36/(1+$A19)^Bull!K37+Bull!$K$34*D$18/(1+$A19)^Bull!$K$37)+Capital!$B$32-Capital!$B$19-Capital!$B$20-(Capital!$B$26+Capital!$B$28))/(Capital!$B$18+Capital!$D$27+Capital!$D$25)),(IF((((Bull!B32*Bull!B36/(1+$A19)^Bull!B37+Bull!C32*Bull!C36/(1+$A19)^Bull!C37+Bull!D32*Bull!D36/(1+$A19)^Bull!D37+Bull!E32*Bull!E36/(1+$A19)^Bull!E37+Bull!F32*Bull!F36/(1+$A19)^Bull!F37+Bull!G32*Bull!G36/(1+$A19)^Bull!G37+Bull!H32*Bull!H36/(1+$A19)^Bull!H37+Bull!I32*Bull!I36/(1+$A19)^Bull!I37+Bull!J32*Bull!J36/(1+$A19)^Bull!J37+Bull!K32*Bull!K36/(1+$A19)^Bull!K37+Bull!$K$34*D$18/(1+$A19)^Bull!$K$37)+Capital!$B$32-Capital!$B$19-Capital!$B$20-(Capital!$B$28))/(Capital!$B$18+Capital!$D$27+Capital!$D$25+Capital!$D$26))&lt;Capital!$C$28,(((Bull!B32*Bull!B36/(1+$A19)^Bull!B37+Bull!C32*Bull!C36/(1+$A19)^Bull!C37+Bull!D32*Bull!D36/(1+$A19)^Bull!D37+Bull!E32*Bull!E36/(1+$A19)^Bull!E37+Bull!F32*Bull!F36/(1+$A19)^Bull!F37+Bull!G32*Bull!G36/(1+$A19)^Bull!G37+Bull!H32*Bull!H36/(1+$A19)^Bull!H37+Bull!I32*Bull!I36/(1+$A19)^Bull!I37+Bull!J32*Bull!J36/(1+$A19)^Bull!J37+Bull!K32*Bull!K36/(1+$A19)^Bull!K37+Bull!$K$34*D$18/(1+$A19)^Bull!$K$37)+Capital!$B$32-Capital!$B$19-Capital!$B$20-(Capital!$B$28))/(Capital!$B$18+Capital!$D$27+Capital!$D$25+Capital!$D$26)),(((Bull!B32*Bull!B36/(1+$A19)^Bull!B37+Bull!C32*Bull!C36/(1+$A19)^Bull!C37+Bull!D32*Bull!D36/(1+$A19)^Bull!D37+Bull!E32*Bull!E36/(1+$A19)^Bull!E37+Bull!F32*Bull!F36/(1+$A19)^Bull!F37+Bull!G32*Bull!G36/(1+$A19)^Bull!G37+Bull!H32*Bull!H36/(1+$A19)^Bull!H37+Bull!I32*Bull!I36/(1+$A19)^Bull!I37+Bull!J32*Bull!J36/(1+$A19)^Bull!J37+Bull!K32*Bull!K36/(1+$A19)^Bull!K37+Bull!$K$34*D$18/(1+$A19)^Bull!$K$37)+Capital!$B$32-Capital!$B$19-Capital!$B$20-(0))/(Capital!$B$18+Capital!$D$27+Capital!$D$25+Capital!$D$26+Capital!$D$28)))))))))</f>
        <v>572.90406681037882</v>
      </c>
      <c r="E19" s="3">
        <f>IF((((Bull!B32*Bull!B36/(1+$A19)^Bull!B37+Bull!C32*Bull!C36/(1+$A19)^Bull!C37+Bull!D32*Bull!D36/(1+$A19)^Bull!D37+Bull!E32*Bull!E36/(1+$A19)^Bull!E37+Bull!F32*Bull!F36/(1+$A19)^Bull!F37+Bull!G32*Bull!G36/(1+$A19)^Bull!G37+Bull!H32*Bull!H36/(1+$A19)^Bull!H37+Bull!I32*Bull!I36/(1+$A19)^Bull!I37+Bull!J32*Bull!J36/(1+$A19)^Bull!J37+Bull!K32*Bull!K36/(1+$A19)^Bull!K37+Bull!$K$34*E$18/(1+$A19)^Bull!$K$37)+Capital!$B$32-Capital!$B$19-Capital!$B$20-(Capital!$B$27+Capital!$B$25+Capital!$B$26+Capital!$B$28))/(Capital!$B$18+0))&lt;Capital!$C$27,(((Bull!B32*Bull!B36/(1+$A19)^Bull!B37+Bull!C32*Bull!C36/(1+$A19)^Bull!C37+Bull!D32*Bull!D36/(1+$A19)^Bull!D37+Bull!E32*Bull!E36/(1+$A19)^Bull!E37+Bull!F32*Bull!F36/(1+$A19)^Bull!F37+Bull!G32*Bull!G36/(1+$A19)^Bull!G37+Bull!H32*Bull!H36/(1+$A19)^Bull!H37+Bull!I32*Bull!I36/(1+$A19)^Bull!I37+Bull!J32*Bull!J36/(1+$A19)^Bull!J37+Bull!K32*Bull!K36/(1+$A19)^Bull!K37+Bull!$K$34*E$18/(1+$A19)^Bull!$K$37)+Capital!$B$32-Capital!$B$19-Capital!$B$20-(Capital!$B$27+Capital!$B$25+Capital!$B$26+Capital!$B$28))/(Capital!$B$18+0)),(IF((((Bull!B32*Bull!B36/(1+$A19)^Bull!B37+Bull!C32*Bull!C36/(1+$A19)^Bull!C37+Bull!D32*Bull!D36/(1+$A19)^Bull!D37+Bull!E32*Bull!E36/(1+$A19)^Bull!E37+Bull!F32*Bull!F36/(1+$A19)^Bull!F37+Bull!G32*Bull!G36/(1+$A19)^Bull!G37+Bull!H32*Bull!H36/(1+$A19)^Bull!H37+Bull!I32*Bull!I36/(1+$A19)^Bull!I37+Bull!J32*Bull!J36/(1+$A19)^Bull!J37+Bull!K32*Bull!K36/(1+$A19)^Bull!K37+Bull!$K$34*E$18/(1+$A19)^Bull!$K$37)+Capital!$B$32-Capital!$B$19-Capital!$B$20-(Capital!$B$25+Capital!$B$26+Capital!$B$28))/(Capital!$B$18+Capital!$D$27))&lt;Capital!$C$25,(((Bull!B32*Bull!B36/(1+$A19)^Bull!B37+Bull!C32*Bull!C36/(1+$A19)^Bull!C37+Bull!D32*Bull!D36/(1+$A19)^Bull!D37+Bull!E32*Bull!E36/(1+$A19)^Bull!E37+Bull!F32*Bull!F36/(1+$A19)^Bull!F37+Bull!G32*Bull!G36/(1+$A19)^Bull!G37+Bull!H32*Bull!H36/(1+$A19)^Bull!H37+Bull!I32*Bull!I36/(1+$A19)^Bull!I37+Bull!J32*Bull!J36/(1+$A19)^Bull!J37+Bull!K32*Bull!K36/(1+$A19)^Bull!K37+Bull!$K$34*E$18/(1+$A19)^Bull!$K$37)+Capital!$B$32-Capital!$B$19-Capital!$B$20-(Capital!$B$25+Capital!$B$26+Capital!$B$28))/(Capital!$B$18+Capital!$D$27)),(IF((((Bull!B32*Bull!B36/(1+$A19)^Bull!B37+Bull!C32*Bull!C36/(1+$A19)^Bull!C37+Bull!D32*Bull!D36/(1+$A19)^Bull!D37+Bull!E32*Bull!E36/(1+$A19)^Bull!E37+Bull!F32*Bull!F36/(1+$A19)^Bull!F37+Bull!G32*Bull!G36/(1+$A19)^Bull!G37+Bull!H32*Bull!H36/(1+$A19)^Bull!H37+Bull!I32*Bull!I36/(1+$A19)^Bull!I37+Bull!J32*Bull!J36/(1+$A19)^Bull!J37+Bull!K32*Bull!K36/(1+$A19)^Bull!K37+Bull!$K$34*E$18/(1+$A19)^Bull!$K$37)+Capital!$B$32-Capital!$B$19-Capital!$B$20-(Capital!$B$26+Capital!$B$28))/(Capital!$B$18+Capital!$D$27+Capital!$D$25))&lt;Capital!$C$26,(((Bull!B32*Bull!B36/(1+$A19)^Bull!B37+Bull!C32*Bull!C36/(1+$A19)^Bull!C37+Bull!D32*Bull!D36/(1+$A19)^Bull!D37+Bull!E32*Bull!E36/(1+$A19)^Bull!E37+Bull!F32*Bull!F36/(1+$A19)^Bull!F37+Bull!G32*Bull!G36/(1+$A19)^Bull!G37+Bull!H32*Bull!H36/(1+$A19)^Bull!H37+Bull!I32*Bull!I36/(1+$A19)^Bull!I37+Bull!J32*Bull!J36/(1+$A19)^Bull!J37+Bull!K32*Bull!K36/(1+$A19)^Bull!K37+Bull!$K$34*E$18/(1+$A19)^Bull!$K$37)+Capital!$B$32-Capital!$B$19-Capital!$B$20-(Capital!$B$26+Capital!$B$28))/(Capital!$B$18+Capital!$D$27+Capital!$D$25)),(IF((((Bull!B32*Bull!B36/(1+$A19)^Bull!B37+Bull!C32*Bull!C36/(1+$A19)^Bull!C37+Bull!D32*Bull!D36/(1+$A19)^Bull!D37+Bull!E32*Bull!E36/(1+$A19)^Bull!E37+Bull!F32*Bull!F36/(1+$A19)^Bull!F37+Bull!G32*Bull!G36/(1+$A19)^Bull!G37+Bull!H32*Bull!H36/(1+$A19)^Bull!H37+Bull!I32*Bull!I36/(1+$A19)^Bull!I37+Bull!J32*Bull!J36/(1+$A19)^Bull!J37+Bull!K32*Bull!K36/(1+$A19)^Bull!K37+Bull!$K$34*E$18/(1+$A19)^Bull!$K$37)+Capital!$B$32-Capital!$B$19-Capital!$B$20-(Capital!$B$28))/(Capital!$B$18+Capital!$D$27+Capital!$D$25+Capital!$D$26))&lt;Capital!$C$28,(((Bull!B32*Bull!B36/(1+$A19)^Bull!B37+Bull!C32*Bull!C36/(1+$A19)^Bull!C37+Bull!D32*Bull!D36/(1+$A19)^Bull!D37+Bull!E32*Bull!E36/(1+$A19)^Bull!E37+Bull!F32*Bull!F36/(1+$A19)^Bull!F37+Bull!G32*Bull!G36/(1+$A19)^Bull!G37+Bull!H32*Bull!H36/(1+$A19)^Bull!H37+Bull!I32*Bull!I36/(1+$A19)^Bull!I37+Bull!J32*Bull!J36/(1+$A19)^Bull!J37+Bull!K32*Bull!K36/(1+$A19)^Bull!K37+Bull!$K$34*E$18/(1+$A19)^Bull!$K$37)+Capital!$B$32-Capital!$B$19-Capital!$B$20-(Capital!$B$28))/(Capital!$B$18+Capital!$D$27+Capital!$D$25+Capital!$D$26)),(((Bull!B32*Bull!B36/(1+$A19)^Bull!B37+Bull!C32*Bull!C36/(1+$A19)^Bull!C37+Bull!D32*Bull!D36/(1+$A19)^Bull!D37+Bull!E32*Bull!E36/(1+$A19)^Bull!E37+Bull!F32*Bull!F36/(1+$A19)^Bull!F37+Bull!G32*Bull!G36/(1+$A19)^Bull!G37+Bull!H32*Bull!H36/(1+$A19)^Bull!H37+Bull!I32*Bull!I36/(1+$A19)^Bull!I37+Bull!J32*Bull!J36/(1+$A19)^Bull!J37+Bull!K32*Bull!K36/(1+$A19)^Bull!K37+Bull!$K$34*E$18/(1+$A19)^Bull!$K$37)+Capital!$B$32-Capital!$B$19-Capital!$B$20-(0))/(Capital!$B$18+Capital!$D$27+Capital!$D$25+Capital!$D$26+Capital!$D$28)))))))))</f>
        <v>618.00959462637297</v>
      </c>
      <c r="F19" s="3">
        <f>IF((((Bull!B32*Bull!B36/(1+$A19)^Bull!B37+Bull!C32*Bull!C36/(1+$A19)^Bull!C37+Bull!D32*Bull!D36/(1+$A19)^Bull!D37+Bull!E32*Bull!E36/(1+$A19)^Bull!E37+Bull!F32*Bull!F36/(1+$A19)^Bull!F37+Bull!G32*Bull!G36/(1+$A19)^Bull!G37+Bull!H32*Bull!H36/(1+$A19)^Bull!H37+Bull!I32*Bull!I36/(1+$A19)^Bull!I37+Bull!J32*Bull!J36/(1+$A19)^Bull!J37+Bull!K32*Bull!K36/(1+$A19)^Bull!K37+Bull!$K$34*F$18/(1+$A19)^Bull!$K$37)+Capital!$B$32-Capital!$B$19-Capital!$B$20-(Capital!$B$27+Capital!$B$25+Capital!$B$26+Capital!$B$28))/(Capital!$B$18+0))&lt;Capital!$C$27,(((Bull!B32*Bull!B36/(1+$A19)^Bull!B37+Bull!C32*Bull!C36/(1+$A19)^Bull!C37+Bull!D32*Bull!D36/(1+$A19)^Bull!D37+Bull!E32*Bull!E36/(1+$A19)^Bull!E37+Bull!F32*Bull!F36/(1+$A19)^Bull!F37+Bull!G32*Bull!G36/(1+$A19)^Bull!G37+Bull!H32*Bull!H36/(1+$A19)^Bull!H37+Bull!I32*Bull!I36/(1+$A19)^Bull!I37+Bull!J32*Bull!J36/(1+$A19)^Bull!J37+Bull!K32*Bull!K36/(1+$A19)^Bull!K37+Bull!$K$34*F$18/(1+$A19)^Bull!$K$37)+Capital!$B$32-Capital!$B$19-Capital!$B$20-(Capital!$B$27+Capital!$B$25+Capital!$B$26+Capital!$B$28))/(Capital!$B$18+0)),(IF((((Bull!B32*Bull!B36/(1+$A19)^Bull!B37+Bull!C32*Bull!C36/(1+$A19)^Bull!C37+Bull!D32*Bull!D36/(1+$A19)^Bull!D37+Bull!E32*Bull!E36/(1+$A19)^Bull!E37+Bull!F32*Bull!F36/(1+$A19)^Bull!F37+Bull!G32*Bull!G36/(1+$A19)^Bull!G37+Bull!H32*Bull!H36/(1+$A19)^Bull!H37+Bull!I32*Bull!I36/(1+$A19)^Bull!I37+Bull!J32*Bull!J36/(1+$A19)^Bull!J37+Bull!K32*Bull!K36/(1+$A19)^Bull!K37+Bull!$K$34*F$18/(1+$A19)^Bull!$K$37)+Capital!$B$32-Capital!$B$19-Capital!$B$20-(Capital!$B$25+Capital!$B$26+Capital!$B$28))/(Capital!$B$18+Capital!$D$27))&lt;Capital!$C$25,(((Bull!B32*Bull!B36/(1+$A19)^Bull!B37+Bull!C32*Bull!C36/(1+$A19)^Bull!C37+Bull!D32*Bull!D36/(1+$A19)^Bull!D37+Bull!E32*Bull!E36/(1+$A19)^Bull!E37+Bull!F32*Bull!F36/(1+$A19)^Bull!F37+Bull!G32*Bull!G36/(1+$A19)^Bull!G37+Bull!H32*Bull!H36/(1+$A19)^Bull!H37+Bull!I32*Bull!I36/(1+$A19)^Bull!I37+Bull!J32*Bull!J36/(1+$A19)^Bull!J37+Bull!K32*Bull!K36/(1+$A19)^Bull!K37+Bull!$K$34*F$18/(1+$A19)^Bull!$K$37)+Capital!$B$32-Capital!$B$19-Capital!$B$20-(Capital!$B$25+Capital!$B$26+Capital!$B$28))/(Capital!$B$18+Capital!$D$27)),(IF((((Bull!B32*Bull!B36/(1+$A19)^Bull!B37+Bull!C32*Bull!C36/(1+$A19)^Bull!C37+Bull!D32*Bull!D36/(1+$A19)^Bull!D37+Bull!E32*Bull!E36/(1+$A19)^Bull!E37+Bull!F32*Bull!F36/(1+$A19)^Bull!F37+Bull!G32*Bull!G36/(1+$A19)^Bull!G37+Bull!H32*Bull!H36/(1+$A19)^Bull!H37+Bull!I32*Bull!I36/(1+$A19)^Bull!I37+Bull!J32*Bull!J36/(1+$A19)^Bull!J37+Bull!K32*Bull!K36/(1+$A19)^Bull!K37+Bull!$K$34*F$18/(1+$A19)^Bull!$K$37)+Capital!$B$32-Capital!$B$19-Capital!$B$20-(Capital!$B$26+Capital!$B$28))/(Capital!$B$18+Capital!$D$27+Capital!$D$25))&lt;Capital!$C$26,(((Bull!B32*Bull!B36/(1+$A19)^Bull!B37+Bull!C32*Bull!C36/(1+$A19)^Bull!C37+Bull!D32*Bull!D36/(1+$A19)^Bull!D37+Bull!E32*Bull!E36/(1+$A19)^Bull!E37+Bull!F32*Bull!F36/(1+$A19)^Bull!F37+Bull!G32*Bull!G36/(1+$A19)^Bull!G37+Bull!H32*Bull!H36/(1+$A19)^Bull!H37+Bull!I32*Bull!I36/(1+$A19)^Bull!I37+Bull!J32*Bull!J36/(1+$A19)^Bull!J37+Bull!K32*Bull!K36/(1+$A19)^Bull!K37+Bull!$K$34*F$18/(1+$A19)^Bull!$K$37)+Capital!$B$32-Capital!$B$19-Capital!$B$20-(Capital!$B$26+Capital!$B$28))/(Capital!$B$18+Capital!$D$27+Capital!$D$25)),(IF((((Bull!B32*Bull!B36/(1+$A19)^Bull!B37+Bull!C32*Bull!C36/(1+$A19)^Bull!C37+Bull!D32*Bull!D36/(1+$A19)^Bull!D37+Bull!E32*Bull!E36/(1+$A19)^Bull!E37+Bull!F32*Bull!F36/(1+$A19)^Bull!F37+Bull!G32*Bull!G36/(1+$A19)^Bull!G37+Bull!H32*Bull!H36/(1+$A19)^Bull!H37+Bull!I32*Bull!I36/(1+$A19)^Bull!I37+Bull!J32*Bull!J36/(1+$A19)^Bull!J37+Bull!K32*Bull!K36/(1+$A19)^Bull!K37+Bull!$K$34*F$18/(1+$A19)^Bull!$K$37)+Capital!$B$32-Capital!$B$19-Capital!$B$20-(Capital!$B$28))/(Capital!$B$18+Capital!$D$27+Capital!$D$25+Capital!$D$26))&lt;Capital!$C$28,(((Bull!B32*Bull!B36/(1+$A19)^Bull!B37+Bull!C32*Bull!C36/(1+$A19)^Bull!C37+Bull!D32*Bull!D36/(1+$A19)^Bull!D37+Bull!E32*Bull!E36/(1+$A19)^Bull!E37+Bull!F32*Bull!F36/(1+$A19)^Bull!F37+Bull!G32*Bull!G36/(1+$A19)^Bull!G37+Bull!H32*Bull!H36/(1+$A19)^Bull!H37+Bull!I32*Bull!I36/(1+$A19)^Bull!I37+Bull!J32*Bull!J36/(1+$A19)^Bull!J37+Bull!K32*Bull!K36/(1+$A19)^Bull!K37+Bull!$K$34*F$18/(1+$A19)^Bull!$K$37)+Capital!$B$32-Capital!$B$19-Capital!$B$20-(Capital!$B$28))/(Capital!$B$18+Capital!$D$27+Capital!$D$25+Capital!$D$26)),(((Bull!B32*Bull!B36/(1+$A19)^Bull!B37+Bull!C32*Bull!C36/(1+$A19)^Bull!C37+Bull!D32*Bull!D36/(1+$A19)^Bull!D37+Bull!E32*Bull!E36/(1+$A19)^Bull!E37+Bull!F32*Bull!F36/(1+$A19)^Bull!F37+Bull!G32*Bull!G36/(1+$A19)^Bull!G37+Bull!H32*Bull!H36/(1+$A19)^Bull!H37+Bull!I32*Bull!I36/(1+$A19)^Bull!I37+Bull!J32*Bull!J36/(1+$A19)^Bull!J37+Bull!K32*Bull!K36/(1+$A19)^Bull!K37+Bull!$K$34*F$18/(1+$A19)^Bull!$K$37)+Capital!$B$32-Capital!$B$19-Capital!$B$20-(0))/(Capital!$B$18+Capital!$D$27+Capital!$D$25+Capital!$D$26+Capital!$D$28)))))))))</f>
        <v>663.11512244236735</v>
      </c>
    </row>
    <row r="20" spans="1:11" ht="15.5" x14ac:dyDescent="0.35">
      <c r="A20" s="7">
        <v>0.12974180892202949</v>
      </c>
      <c r="B20" s="3">
        <f>IF((((Bull!B32*Bull!B36/(1+$A20)^Bull!B37+Bull!C32*Bull!C36/(1+$A20)^Bull!C37+Bull!D32*Bull!D36/(1+$A20)^Bull!D37+Bull!E32*Bull!E36/(1+$A20)^Bull!E37+Bull!F32*Bull!F36/(1+$A20)^Bull!F37+Bull!G32*Bull!G36/(1+$A20)^Bull!G37+Bull!H32*Bull!H36/(1+$A20)^Bull!H37+Bull!I32*Bull!I36/(1+$A20)^Bull!I37+Bull!J32*Bull!J36/(1+$A20)^Bull!J37+Bull!K32*Bull!K36/(1+$A20)^Bull!K37+Bull!$K$34*B$18/(1+$A20)^Bull!$K$37)+Capital!$B$32-Capital!$B$19-Capital!$B$20-(Capital!$B$27+Capital!$B$25+Capital!$B$26+Capital!$B$28))/(Capital!$B$18+0))&lt;Capital!$C$27,(((Bull!B32*Bull!B36/(1+$A20)^Bull!B37+Bull!C32*Bull!C36/(1+$A20)^Bull!C37+Bull!D32*Bull!D36/(1+$A20)^Bull!D37+Bull!E32*Bull!E36/(1+$A20)^Bull!E37+Bull!F32*Bull!F36/(1+$A20)^Bull!F37+Bull!G32*Bull!G36/(1+$A20)^Bull!G37+Bull!H32*Bull!H36/(1+$A20)^Bull!H37+Bull!I32*Bull!I36/(1+$A20)^Bull!I37+Bull!J32*Bull!J36/(1+$A20)^Bull!J37+Bull!K32*Bull!K36/(1+$A20)^Bull!K37+Bull!$K$34*B$18/(1+$A20)^Bull!$K$37)+Capital!$B$32-Capital!$B$19-Capital!$B$20-(Capital!$B$27+Capital!$B$25+Capital!$B$26+Capital!$B$28))/(Capital!$B$18+0)),(IF((((Bull!B32*Bull!B36/(1+$A20)^Bull!B37+Bull!C32*Bull!C36/(1+$A20)^Bull!C37+Bull!D32*Bull!D36/(1+$A20)^Bull!D37+Bull!E32*Bull!E36/(1+$A20)^Bull!E37+Bull!F32*Bull!F36/(1+$A20)^Bull!F37+Bull!G32*Bull!G36/(1+$A20)^Bull!G37+Bull!H32*Bull!H36/(1+$A20)^Bull!H37+Bull!I32*Bull!I36/(1+$A20)^Bull!I37+Bull!J32*Bull!J36/(1+$A20)^Bull!J37+Bull!K32*Bull!K36/(1+$A20)^Bull!K37+Bull!$K$34*B$18/(1+$A20)^Bull!$K$37)+Capital!$B$32-Capital!$B$19-Capital!$B$20-(Capital!$B$25+Capital!$B$26+Capital!$B$28))/(Capital!$B$18+Capital!$D$27))&lt;Capital!$C$25,(((Bull!B32*Bull!B36/(1+$A20)^Bull!B37+Bull!C32*Bull!C36/(1+$A20)^Bull!C37+Bull!D32*Bull!D36/(1+$A20)^Bull!D37+Bull!E32*Bull!E36/(1+$A20)^Bull!E37+Bull!F32*Bull!F36/(1+$A20)^Bull!F37+Bull!G32*Bull!G36/(1+$A20)^Bull!G37+Bull!H32*Bull!H36/(1+$A20)^Bull!H37+Bull!I32*Bull!I36/(1+$A20)^Bull!I37+Bull!J32*Bull!J36/(1+$A20)^Bull!J37+Bull!K32*Bull!K36/(1+$A20)^Bull!K37+Bull!$K$34*B$18/(1+$A20)^Bull!$K$37)+Capital!$B$32-Capital!$B$19-Capital!$B$20-(Capital!$B$25+Capital!$B$26+Capital!$B$28))/(Capital!$B$18+Capital!$D$27)),(IF((((Bull!B32*Bull!B36/(1+$A20)^Bull!B37+Bull!C32*Bull!C36/(1+$A20)^Bull!C37+Bull!D32*Bull!D36/(1+$A20)^Bull!D37+Bull!E32*Bull!E36/(1+$A20)^Bull!E37+Bull!F32*Bull!F36/(1+$A20)^Bull!F37+Bull!G32*Bull!G36/(1+$A20)^Bull!G37+Bull!H32*Bull!H36/(1+$A20)^Bull!H37+Bull!I32*Bull!I36/(1+$A20)^Bull!I37+Bull!J32*Bull!J36/(1+$A20)^Bull!J37+Bull!K32*Bull!K36/(1+$A20)^Bull!K37+Bull!$K$34*B$18/(1+$A20)^Bull!$K$37)+Capital!$B$32-Capital!$B$19-Capital!$B$20-(Capital!$B$26+Capital!$B$28))/(Capital!$B$18+Capital!$D$27+Capital!$D$25))&lt;Capital!$C$26,(((Bull!B32*Bull!B36/(1+$A20)^Bull!B37+Bull!C32*Bull!C36/(1+$A20)^Bull!C37+Bull!D32*Bull!D36/(1+$A20)^Bull!D37+Bull!E32*Bull!E36/(1+$A20)^Bull!E37+Bull!F32*Bull!F36/(1+$A20)^Bull!F37+Bull!G32*Bull!G36/(1+$A20)^Bull!G37+Bull!H32*Bull!H36/(1+$A20)^Bull!H37+Bull!I32*Bull!I36/(1+$A20)^Bull!I37+Bull!J32*Bull!J36/(1+$A20)^Bull!J37+Bull!K32*Bull!K36/(1+$A20)^Bull!K37+Bull!$K$34*B$18/(1+$A20)^Bull!$K$37)+Capital!$B$32-Capital!$B$19-Capital!$B$20-(Capital!$B$26+Capital!$B$28))/(Capital!$B$18+Capital!$D$27+Capital!$D$25)),(IF((((Bull!B32*Bull!B36/(1+$A20)^Bull!B37+Bull!C32*Bull!C36/(1+$A20)^Bull!C37+Bull!D32*Bull!D36/(1+$A20)^Bull!D37+Bull!E32*Bull!E36/(1+$A20)^Bull!E37+Bull!F32*Bull!F36/(1+$A20)^Bull!F37+Bull!G32*Bull!G36/(1+$A20)^Bull!G37+Bull!H32*Bull!H36/(1+$A20)^Bull!H37+Bull!I32*Bull!I36/(1+$A20)^Bull!I37+Bull!J32*Bull!J36/(1+$A20)^Bull!J37+Bull!K32*Bull!K36/(1+$A20)^Bull!K37+Bull!$K$34*B$18/(1+$A20)^Bull!$K$37)+Capital!$B$32-Capital!$B$19-Capital!$B$20-(Capital!$B$28))/(Capital!$B$18+Capital!$D$27+Capital!$D$25+Capital!$D$26))&lt;Capital!$C$28,(((Bull!B32*Bull!B36/(1+$A20)^Bull!B37+Bull!C32*Bull!C36/(1+$A20)^Bull!C37+Bull!D32*Bull!D36/(1+$A20)^Bull!D37+Bull!E32*Bull!E36/(1+$A20)^Bull!E37+Bull!F32*Bull!F36/(1+$A20)^Bull!F37+Bull!G32*Bull!G36/(1+$A20)^Bull!G37+Bull!H32*Bull!H36/(1+$A20)^Bull!H37+Bull!I32*Bull!I36/(1+$A20)^Bull!I37+Bull!J32*Bull!J36/(1+$A20)^Bull!J37+Bull!K32*Bull!K36/(1+$A20)^Bull!K37+Bull!$K$34*B$18/(1+$A20)^Bull!$K$37)+Capital!$B$32-Capital!$B$19-Capital!$B$20-(Capital!$B$28))/(Capital!$B$18+Capital!$D$27+Capital!$D$25+Capital!$D$26)),(((Bull!B32*Bull!B36/(1+$A20)^Bull!B37+Bull!C32*Bull!C36/(1+$A20)^Bull!C37+Bull!D32*Bull!D36/(1+$A20)^Bull!D37+Bull!E32*Bull!E36/(1+$A20)^Bull!E37+Bull!F32*Bull!F36/(1+$A20)^Bull!F37+Bull!G32*Bull!G36/(1+$A20)^Bull!G37+Bull!H32*Bull!H36/(1+$A20)^Bull!H37+Bull!I32*Bull!I36/(1+$A20)^Bull!I37+Bull!J32*Bull!J36/(1+$A20)^Bull!J37+Bull!K32*Bull!K36/(1+$A20)^Bull!K37+Bull!$K$34*B$18/(1+$A20)^Bull!$K$37)+Capital!$B$32-Capital!$B$19-Capital!$B$20-(0))/(Capital!$B$18+Capital!$D$27+Capital!$D$25+Capital!$D$26+Capital!$D$28)))))))))</f>
        <v>451.36188287833824</v>
      </c>
      <c r="C20" s="3">
        <f>IF((((Bull!B32*Bull!B36/(1+$A20)^Bull!B37+Bull!C32*Bull!C36/(1+$A20)^Bull!C37+Bull!D32*Bull!D36/(1+$A20)^Bull!D37+Bull!E32*Bull!E36/(1+$A20)^Bull!E37+Bull!F32*Bull!F36/(1+$A20)^Bull!F37+Bull!G32*Bull!G36/(1+$A20)^Bull!G37+Bull!H32*Bull!H36/(1+$A20)^Bull!H37+Bull!I32*Bull!I36/(1+$A20)^Bull!I37+Bull!J32*Bull!J36/(1+$A20)^Bull!J37+Bull!K32*Bull!K36/(1+$A20)^Bull!K37+Bull!$K$34*C$18/(1+$A20)^Bull!$K$37)+Capital!$B$32-Capital!$B$19-Capital!$B$20-(Capital!$B$27+Capital!$B$25+Capital!$B$26+Capital!$B$28))/(Capital!$B$18+0))&lt;Capital!$C$27,(((Bull!B32*Bull!B36/(1+$A20)^Bull!B37+Bull!C32*Bull!C36/(1+$A20)^Bull!C37+Bull!D32*Bull!D36/(1+$A20)^Bull!D37+Bull!E32*Bull!E36/(1+$A20)^Bull!E37+Bull!F32*Bull!F36/(1+$A20)^Bull!F37+Bull!G32*Bull!G36/(1+$A20)^Bull!G37+Bull!H32*Bull!H36/(1+$A20)^Bull!H37+Bull!I32*Bull!I36/(1+$A20)^Bull!I37+Bull!J32*Bull!J36/(1+$A20)^Bull!J37+Bull!K32*Bull!K36/(1+$A20)^Bull!K37+Bull!$K$34*C$18/(1+$A20)^Bull!$K$37)+Capital!$B$32-Capital!$B$19-Capital!$B$20-(Capital!$B$27+Capital!$B$25+Capital!$B$26+Capital!$B$28))/(Capital!$B$18+0)),(IF((((Bull!B32*Bull!B36/(1+$A20)^Bull!B37+Bull!C32*Bull!C36/(1+$A20)^Bull!C37+Bull!D32*Bull!D36/(1+$A20)^Bull!D37+Bull!E32*Bull!E36/(1+$A20)^Bull!E37+Bull!F32*Bull!F36/(1+$A20)^Bull!F37+Bull!G32*Bull!G36/(1+$A20)^Bull!G37+Bull!H32*Bull!H36/(1+$A20)^Bull!H37+Bull!I32*Bull!I36/(1+$A20)^Bull!I37+Bull!J32*Bull!J36/(1+$A20)^Bull!J37+Bull!K32*Bull!K36/(1+$A20)^Bull!K37+Bull!$K$34*C$18/(1+$A20)^Bull!$K$37)+Capital!$B$32-Capital!$B$19-Capital!$B$20-(Capital!$B$25+Capital!$B$26+Capital!$B$28))/(Capital!$B$18+Capital!$D$27))&lt;Capital!$C$25,(((Bull!B32*Bull!B36/(1+$A20)^Bull!B37+Bull!C32*Bull!C36/(1+$A20)^Bull!C37+Bull!D32*Bull!D36/(1+$A20)^Bull!D37+Bull!E32*Bull!E36/(1+$A20)^Bull!E37+Bull!F32*Bull!F36/(1+$A20)^Bull!F37+Bull!G32*Bull!G36/(1+$A20)^Bull!G37+Bull!H32*Bull!H36/(1+$A20)^Bull!H37+Bull!I32*Bull!I36/(1+$A20)^Bull!I37+Bull!J32*Bull!J36/(1+$A20)^Bull!J37+Bull!K32*Bull!K36/(1+$A20)^Bull!K37+Bull!$K$34*C$18/(1+$A20)^Bull!$K$37)+Capital!$B$32-Capital!$B$19-Capital!$B$20-(Capital!$B$25+Capital!$B$26+Capital!$B$28))/(Capital!$B$18+Capital!$D$27)),(IF((((Bull!B32*Bull!B36/(1+$A20)^Bull!B37+Bull!C32*Bull!C36/(1+$A20)^Bull!C37+Bull!D32*Bull!D36/(1+$A20)^Bull!D37+Bull!E32*Bull!E36/(1+$A20)^Bull!E37+Bull!F32*Bull!F36/(1+$A20)^Bull!F37+Bull!G32*Bull!G36/(1+$A20)^Bull!G37+Bull!H32*Bull!H36/(1+$A20)^Bull!H37+Bull!I32*Bull!I36/(1+$A20)^Bull!I37+Bull!J32*Bull!J36/(1+$A20)^Bull!J37+Bull!K32*Bull!K36/(1+$A20)^Bull!K37+Bull!$K$34*C$18/(1+$A20)^Bull!$K$37)+Capital!$B$32-Capital!$B$19-Capital!$B$20-(Capital!$B$26+Capital!$B$28))/(Capital!$B$18+Capital!$D$27+Capital!$D$25))&lt;Capital!$C$26,(((Bull!B32*Bull!B36/(1+$A20)^Bull!B37+Bull!C32*Bull!C36/(1+$A20)^Bull!C37+Bull!D32*Bull!D36/(1+$A20)^Bull!D37+Bull!E32*Bull!E36/(1+$A20)^Bull!E37+Bull!F32*Bull!F36/(1+$A20)^Bull!F37+Bull!G32*Bull!G36/(1+$A20)^Bull!G37+Bull!H32*Bull!H36/(1+$A20)^Bull!H37+Bull!I32*Bull!I36/(1+$A20)^Bull!I37+Bull!J32*Bull!J36/(1+$A20)^Bull!J37+Bull!K32*Bull!K36/(1+$A20)^Bull!K37+Bull!$K$34*C$18/(1+$A20)^Bull!$K$37)+Capital!$B$32-Capital!$B$19-Capital!$B$20-(Capital!$B$26+Capital!$B$28))/(Capital!$B$18+Capital!$D$27+Capital!$D$25)),(IF((((Bull!B32*Bull!B36/(1+$A20)^Bull!B37+Bull!C32*Bull!C36/(1+$A20)^Bull!C37+Bull!D32*Bull!D36/(1+$A20)^Bull!D37+Bull!E32*Bull!E36/(1+$A20)^Bull!E37+Bull!F32*Bull!F36/(1+$A20)^Bull!F37+Bull!G32*Bull!G36/(1+$A20)^Bull!G37+Bull!H32*Bull!H36/(1+$A20)^Bull!H37+Bull!I32*Bull!I36/(1+$A20)^Bull!I37+Bull!J32*Bull!J36/(1+$A20)^Bull!J37+Bull!K32*Bull!K36/(1+$A20)^Bull!K37+Bull!$K$34*C$18/(1+$A20)^Bull!$K$37)+Capital!$B$32-Capital!$B$19-Capital!$B$20-(Capital!$B$28))/(Capital!$B$18+Capital!$D$27+Capital!$D$25+Capital!$D$26))&lt;Capital!$C$28,(((Bull!B32*Bull!B36/(1+$A20)^Bull!B37+Bull!C32*Bull!C36/(1+$A20)^Bull!C37+Bull!D32*Bull!D36/(1+$A20)^Bull!D37+Bull!E32*Bull!E36/(1+$A20)^Bull!E37+Bull!F32*Bull!F36/(1+$A20)^Bull!F37+Bull!G32*Bull!G36/(1+$A20)^Bull!G37+Bull!H32*Bull!H36/(1+$A20)^Bull!H37+Bull!I32*Bull!I36/(1+$A20)^Bull!I37+Bull!J32*Bull!J36/(1+$A20)^Bull!J37+Bull!K32*Bull!K36/(1+$A20)^Bull!K37+Bull!$K$34*C$18/(1+$A20)^Bull!$K$37)+Capital!$B$32-Capital!$B$19-Capital!$B$20-(Capital!$B$28))/(Capital!$B$18+Capital!$D$27+Capital!$D$25+Capital!$D$26)),(((Bull!B32*Bull!B36/(1+$A20)^Bull!B37+Bull!C32*Bull!C36/(1+$A20)^Bull!C37+Bull!D32*Bull!D36/(1+$A20)^Bull!D37+Bull!E32*Bull!E36/(1+$A20)^Bull!E37+Bull!F32*Bull!F36/(1+$A20)^Bull!F37+Bull!G32*Bull!G36/(1+$A20)^Bull!G37+Bull!H32*Bull!H36/(1+$A20)^Bull!H37+Bull!I32*Bull!I36/(1+$A20)^Bull!I37+Bull!J32*Bull!J36/(1+$A20)^Bull!J37+Bull!K32*Bull!K36/(1+$A20)^Bull!K37+Bull!$K$34*C$18/(1+$A20)^Bull!$K$37)+Capital!$B$32-Capital!$B$19-Capital!$B$20-(0))/(Capital!$B$18+Capital!$D$27+Capital!$D$25+Capital!$D$26+Capital!$D$28)))))))))</f>
        <v>492.7147217004989</v>
      </c>
      <c r="D20" s="3">
        <f>IF((((Bull!B32*Bull!B36/(1+$A20)^Bull!B37+Bull!C32*Bull!C36/(1+$A20)^Bull!C37+Bull!D32*Bull!D36/(1+$A20)^Bull!D37+Bull!E32*Bull!E36/(1+$A20)^Bull!E37+Bull!F32*Bull!F36/(1+$A20)^Bull!F37+Bull!G32*Bull!G36/(1+$A20)^Bull!G37+Bull!H32*Bull!H36/(1+$A20)^Bull!H37+Bull!I32*Bull!I36/(1+$A20)^Bull!I37+Bull!J32*Bull!J36/(1+$A20)^Bull!J37+Bull!K32*Bull!K36/(1+$A20)^Bull!K37+Bull!$K$34*D$18/(1+$A20)^Bull!$K$37)+Capital!$B$32-Capital!$B$19-Capital!$B$20-(Capital!$B$27+Capital!$B$25+Capital!$B$26+Capital!$B$28))/(Capital!$B$18+0))&lt;Capital!$C$27,(((Bull!B32*Bull!B36/(1+$A20)^Bull!B37+Bull!C32*Bull!C36/(1+$A20)^Bull!C37+Bull!D32*Bull!D36/(1+$A20)^Bull!D37+Bull!E32*Bull!E36/(1+$A20)^Bull!E37+Bull!F32*Bull!F36/(1+$A20)^Bull!F37+Bull!G32*Bull!G36/(1+$A20)^Bull!G37+Bull!H32*Bull!H36/(1+$A20)^Bull!H37+Bull!I32*Bull!I36/(1+$A20)^Bull!I37+Bull!J32*Bull!J36/(1+$A20)^Bull!J37+Bull!K32*Bull!K36/(1+$A20)^Bull!K37+Bull!$K$34*D$18/(1+$A20)^Bull!$K$37)+Capital!$B$32-Capital!$B$19-Capital!$B$20-(Capital!$B$27+Capital!$B$25+Capital!$B$26+Capital!$B$28))/(Capital!$B$18+0)),(IF((((Bull!B32*Bull!B36/(1+$A20)^Bull!B37+Bull!C32*Bull!C36/(1+$A20)^Bull!C37+Bull!D32*Bull!D36/(1+$A20)^Bull!D37+Bull!E32*Bull!E36/(1+$A20)^Bull!E37+Bull!F32*Bull!F36/(1+$A20)^Bull!F37+Bull!G32*Bull!G36/(1+$A20)^Bull!G37+Bull!H32*Bull!H36/(1+$A20)^Bull!H37+Bull!I32*Bull!I36/(1+$A20)^Bull!I37+Bull!J32*Bull!J36/(1+$A20)^Bull!J37+Bull!K32*Bull!K36/(1+$A20)^Bull!K37+Bull!$K$34*D$18/(1+$A20)^Bull!$K$37)+Capital!$B$32-Capital!$B$19-Capital!$B$20-(Capital!$B$25+Capital!$B$26+Capital!$B$28))/(Capital!$B$18+Capital!$D$27))&lt;Capital!$C$25,(((Bull!B32*Bull!B36/(1+$A20)^Bull!B37+Bull!C32*Bull!C36/(1+$A20)^Bull!C37+Bull!D32*Bull!D36/(1+$A20)^Bull!D37+Bull!E32*Bull!E36/(1+$A20)^Bull!E37+Bull!F32*Bull!F36/(1+$A20)^Bull!F37+Bull!G32*Bull!G36/(1+$A20)^Bull!G37+Bull!H32*Bull!H36/(1+$A20)^Bull!H37+Bull!I32*Bull!I36/(1+$A20)^Bull!I37+Bull!J32*Bull!J36/(1+$A20)^Bull!J37+Bull!K32*Bull!K36/(1+$A20)^Bull!K37+Bull!$K$34*D$18/(1+$A20)^Bull!$K$37)+Capital!$B$32-Capital!$B$19-Capital!$B$20-(Capital!$B$25+Capital!$B$26+Capital!$B$28))/(Capital!$B$18+Capital!$D$27)),(IF((((Bull!B32*Bull!B36/(1+$A20)^Bull!B37+Bull!C32*Bull!C36/(1+$A20)^Bull!C37+Bull!D32*Bull!D36/(1+$A20)^Bull!D37+Bull!E32*Bull!E36/(1+$A20)^Bull!E37+Bull!F32*Bull!F36/(1+$A20)^Bull!F37+Bull!G32*Bull!G36/(1+$A20)^Bull!G37+Bull!H32*Bull!H36/(1+$A20)^Bull!H37+Bull!I32*Bull!I36/(1+$A20)^Bull!I37+Bull!J32*Bull!J36/(1+$A20)^Bull!J37+Bull!K32*Bull!K36/(1+$A20)^Bull!K37+Bull!$K$34*D$18/(1+$A20)^Bull!$K$37)+Capital!$B$32-Capital!$B$19-Capital!$B$20-(Capital!$B$26+Capital!$B$28))/(Capital!$B$18+Capital!$D$27+Capital!$D$25))&lt;Capital!$C$26,(((Bull!B32*Bull!B36/(1+$A20)^Bull!B37+Bull!C32*Bull!C36/(1+$A20)^Bull!C37+Bull!D32*Bull!D36/(1+$A20)^Bull!D37+Bull!E32*Bull!E36/(1+$A20)^Bull!E37+Bull!F32*Bull!F36/(1+$A20)^Bull!F37+Bull!G32*Bull!G36/(1+$A20)^Bull!G37+Bull!H32*Bull!H36/(1+$A20)^Bull!H37+Bull!I32*Bull!I36/(1+$A20)^Bull!I37+Bull!J32*Bull!J36/(1+$A20)^Bull!J37+Bull!K32*Bull!K36/(1+$A20)^Bull!K37+Bull!$K$34*D$18/(1+$A20)^Bull!$K$37)+Capital!$B$32-Capital!$B$19-Capital!$B$20-(Capital!$B$26+Capital!$B$28))/(Capital!$B$18+Capital!$D$27+Capital!$D$25)),(IF((((Bull!B32*Bull!B36/(1+$A20)^Bull!B37+Bull!C32*Bull!C36/(1+$A20)^Bull!C37+Bull!D32*Bull!D36/(1+$A20)^Bull!D37+Bull!E32*Bull!E36/(1+$A20)^Bull!E37+Bull!F32*Bull!F36/(1+$A20)^Bull!F37+Bull!G32*Bull!G36/(1+$A20)^Bull!G37+Bull!H32*Bull!H36/(1+$A20)^Bull!H37+Bull!I32*Bull!I36/(1+$A20)^Bull!I37+Bull!J32*Bull!J36/(1+$A20)^Bull!J37+Bull!K32*Bull!K36/(1+$A20)^Bull!K37+Bull!$K$34*D$18/(1+$A20)^Bull!$K$37)+Capital!$B$32-Capital!$B$19-Capital!$B$20-(Capital!$B$28))/(Capital!$B$18+Capital!$D$27+Capital!$D$25+Capital!$D$26))&lt;Capital!$C$28,(((Bull!B32*Bull!B36/(1+$A20)^Bull!B37+Bull!C32*Bull!C36/(1+$A20)^Bull!C37+Bull!D32*Bull!D36/(1+$A20)^Bull!D37+Bull!E32*Bull!E36/(1+$A20)^Bull!E37+Bull!F32*Bull!F36/(1+$A20)^Bull!F37+Bull!G32*Bull!G36/(1+$A20)^Bull!G37+Bull!H32*Bull!H36/(1+$A20)^Bull!H37+Bull!I32*Bull!I36/(1+$A20)^Bull!I37+Bull!J32*Bull!J36/(1+$A20)^Bull!J37+Bull!K32*Bull!K36/(1+$A20)^Bull!K37+Bull!$K$34*D$18/(1+$A20)^Bull!$K$37)+Capital!$B$32-Capital!$B$19-Capital!$B$20-(Capital!$B$28))/(Capital!$B$18+Capital!$D$27+Capital!$D$25+Capital!$D$26)),(((Bull!B32*Bull!B36/(1+$A20)^Bull!B37+Bull!C32*Bull!C36/(1+$A20)^Bull!C37+Bull!D32*Bull!D36/(1+$A20)^Bull!D37+Bull!E32*Bull!E36/(1+$A20)^Bull!E37+Bull!F32*Bull!F36/(1+$A20)^Bull!F37+Bull!G32*Bull!G36/(1+$A20)^Bull!G37+Bull!H32*Bull!H36/(1+$A20)^Bull!H37+Bull!I32*Bull!I36/(1+$A20)^Bull!I37+Bull!J32*Bull!J36/(1+$A20)^Bull!J37+Bull!K32*Bull!K36/(1+$A20)^Bull!K37+Bull!$K$34*D$18/(1+$A20)^Bull!$K$37)+Capital!$B$32-Capital!$B$19-Capital!$B$20-(0))/(Capital!$B$18+Capital!$D$27+Capital!$D$25+Capital!$D$26+Capital!$D$28)))))))))</f>
        <v>534.06756052265962</v>
      </c>
      <c r="E20" s="3">
        <f>IF((((Bull!B32*Bull!B36/(1+$A20)^Bull!B37+Bull!C32*Bull!C36/(1+$A20)^Bull!C37+Bull!D32*Bull!D36/(1+$A20)^Bull!D37+Bull!E32*Bull!E36/(1+$A20)^Bull!E37+Bull!F32*Bull!F36/(1+$A20)^Bull!F37+Bull!G32*Bull!G36/(1+$A20)^Bull!G37+Bull!H32*Bull!H36/(1+$A20)^Bull!H37+Bull!I32*Bull!I36/(1+$A20)^Bull!I37+Bull!J32*Bull!J36/(1+$A20)^Bull!J37+Bull!K32*Bull!K36/(1+$A20)^Bull!K37+Bull!$K$34*E$18/(1+$A20)^Bull!$K$37)+Capital!$B$32-Capital!$B$19-Capital!$B$20-(Capital!$B$27+Capital!$B$25+Capital!$B$26+Capital!$B$28))/(Capital!$B$18+0))&lt;Capital!$C$27,(((Bull!B32*Bull!B36/(1+$A20)^Bull!B37+Bull!C32*Bull!C36/(1+$A20)^Bull!C37+Bull!D32*Bull!D36/(1+$A20)^Bull!D37+Bull!E32*Bull!E36/(1+$A20)^Bull!E37+Bull!F32*Bull!F36/(1+$A20)^Bull!F37+Bull!G32*Bull!G36/(1+$A20)^Bull!G37+Bull!H32*Bull!H36/(1+$A20)^Bull!H37+Bull!I32*Bull!I36/(1+$A20)^Bull!I37+Bull!J32*Bull!J36/(1+$A20)^Bull!J37+Bull!K32*Bull!K36/(1+$A20)^Bull!K37+Bull!$K$34*E$18/(1+$A20)^Bull!$K$37)+Capital!$B$32-Capital!$B$19-Capital!$B$20-(Capital!$B$27+Capital!$B$25+Capital!$B$26+Capital!$B$28))/(Capital!$B$18+0)),(IF((((Bull!B32*Bull!B36/(1+$A20)^Bull!B37+Bull!C32*Bull!C36/(1+$A20)^Bull!C37+Bull!D32*Bull!D36/(1+$A20)^Bull!D37+Bull!E32*Bull!E36/(1+$A20)^Bull!E37+Bull!F32*Bull!F36/(1+$A20)^Bull!F37+Bull!G32*Bull!G36/(1+$A20)^Bull!G37+Bull!H32*Bull!H36/(1+$A20)^Bull!H37+Bull!I32*Bull!I36/(1+$A20)^Bull!I37+Bull!J32*Bull!J36/(1+$A20)^Bull!J37+Bull!K32*Bull!K36/(1+$A20)^Bull!K37+Bull!$K$34*E$18/(1+$A20)^Bull!$K$37)+Capital!$B$32-Capital!$B$19-Capital!$B$20-(Capital!$B$25+Capital!$B$26+Capital!$B$28))/(Capital!$B$18+Capital!$D$27))&lt;Capital!$C$25,(((Bull!B32*Bull!B36/(1+$A20)^Bull!B37+Bull!C32*Bull!C36/(1+$A20)^Bull!C37+Bull!D32*Bull!D36/(1+$A20)^Bull!D37+Bull!E32*Bull!E36/(1+$A20)^Bull!E37+Bull!F32*Bull!F36/(1+$A20)^Bull!F37+Bull!G32*Bull!G36/(1+$A20)^Bull!G37+Bull!H32*Bull!H36/(1+$A20)^Bull!H37+Bull!I32*Bull!I36/(1+$A20)^Bull!I37+Bull!J32*Bull!J36/(1+$A20)^Bull!J37+Bull!K32*Bull!K36/(1+$A20)^Bull!K37+Bull!$K$34*E$18/(1+$A20)^Bull!$K$37)+Capital!$B$32-Capital!$B$19-Capital!$B$20-(Capital!$B$25+Capital!$B$26+Capital!$B$28))/(Capital!$B$18+Capital!$D$27)),(IF((((Bull!B32*Bull!B36/(1+$A20)^Bull!B37+Bull!C32*Bull!C36/(1+$A20)^Bull!C37+Bull!D32*Bull!D36/(1+$A20)^Bull!D37+Bull!E32*Bull!E36/(1+$A20)^Bull!E37+Bull!F32*Bull!F36/(1+$A20)^Bull!F37+Bull!G32*Bull!G36/(1+$A20)^Bull!G37+Bull!H32*Bull!H36/(1+$A20)^Bull!H37+Bull!I32*Bull!I36/(1+$A20)^Bull!I37+Bull!J32*Bull!J36/(1+$A20)^Bull!J37+Bull!K32*Bull!K36/(1+$A20)^Bull!K37+Bull!$K$34*E$18/(1+$A20)^Bull!$K$37)+Capital!$B$32-Capital!$B$19-Capital!$B$20-(Capital!$B$26+Capital!$B$28))/(Capital!$B$18+Capital!$D$27+Capital!$D$25))&lt;Capital!$C$26,(((Bull!B32*Bull!B36/(1+$A20)^Bull!B37+Bull!C32*Bull!C36/(1+$A20)^Bull!C37+Bull!D32*Bull!D36/(1+$A20)^Bull!D37+Bull!E32*Bull!E36/(1+$A20)^Bull!E37+Bull!F32*Bull!F36/(1+$A20)^Bull!F37+Bull!G32*Bull!G36/(1+$A20)^Bull!G37+Bull!H32*Bull!H36/(1+$A20)^Bull!H37+Bull!I32*Bull!I36/(1+$A20)^Bull!I37+Bull!J32*Bull!J36/(1+$A20)^Bull!J37+Bull!K32*Bull!K36/(1+$A20)^Bull!K37+Bull!$K$34*E$18/(1+$A20)^Bull!$K$37)+Capital!$B$32-Capital!$B$19-Capital!$B$20-(Capital!$B$26+Capital!$B$28))/(Capital!$B$18+Capital!$D$27+Capital!$D$25)),(IF((((Bull!B32*Bull!B36/(1+$A20)^Bull!B37+Bull!C32*Bull!C36/(1+$A20)^Bull!C37+Bull!D32*Bull!D36/(1+$A20)^Bull!D37+Bull!E32*Bull!E36/(1+$A20)^Bull!E37+Bull!F32*Bull!F36/(1+$A20)^Bull!F37+Bull!G32*Bull!G36/(1+$A20)^Bull!G37+Bull!H32*Bull!H36/(1+$A20)^Bull!H37+Bull!I32*Bull!I36/(1+$A20)^Bull!I37+Bull!J32*Bull!J36/(1+$A20)^Bull!J37+Bull!K32*Bull!K36/(1+$A20)^Bull!K37+Bull!$K$34*E$18/(1+$A20)^Bull!$K$37)+Capital!$B$32-Capital!$B$19-Capital!$B$20-(Capital!$B$28))/(Capital!$B$18+Capital!$D$27+Capital!$D$25+Capital!$D$26))&lt;Capital!$C$28,(((Bull!B32*Bull!B36/(1+$A20)^Bull!B37+Bull!C32*Bull!C36/(1+$A20)^Bull!C37+Bull!D32*Bull!D36/(1+$A20)^Bull!D37+Bull!E32*Bull!E36/(1+$A20)^Bull!E37+Bull!F32*Bull!F36/(1+$A20)^Bull!F37+Bull!G32*Bull!G36/(1+$A20)^Bull!G37+Bull!H32*Bull!H36/(1+$A20)^Bull!H37+Bull!I32*Bull!I36/(1+$A20)^Bull!I37+Bull!J32*Bull!J36/(1+$A20)^Bull!J37+Bull!K32*Bull!K36/(1+$A20)^Bull!K37+Bull!$K$34*E$18/(1+$A20)^Bull!$K$37)+Capital!$B$32-Capital!$B$19-Capital!$B$20-(Capital!$B$28))/(Capital!$B$18+Capital!$D$27+Capital!$D$25+Capital!$D$26)),(((Bull!B32*Bull!B36/(1+$A20)^Bull!B37+Bull!C32*Bull!C36/(1+$A20)^Bull!C37+Bull!D32*Bull!D36/(1+$A20)^Bull!D37+Bull!E32*Bull!E36/(1+$A20)^Bull!E37+Bull!F32*Bull!F36/(1+$A20)^Bull!F37+Bull!G32*Bull!G36/(1+$A20)^Bull!G37+Bull!H32*Bull!H36/(1+$A20)^Bull!H37+Bull!I32*Bull!I36/(1+$A20)^Bull!I37+Bull!J32*Bull!J36/(1+$A20)^Bull!J37+Bull!K32*Bull!K36/(1+$A20)^Bull!K37+Bull!$K$34*E$18/(1+$A20)^Bull!$K$37)+Capital!$B$32-Capital!$B$19-Capital!$B$20-(0))/(Capital!$B$18+Capital!$D$27+Capital!$D$25+Capital!$D$26+Capital!$D$28)))))))))</f>
        <v>575.42039934482034</v>
      </c>
      <c r="F20" s="3">
        <f>IF((((Bull!B32*Bull!B36/(1+$A20)^Bull!B37+Bull!C32*Bull!C36/(1+$A20)^Bull!C37+Bull!D32*Bull!D36/(1+$A20)^Bull!D37+Bull!E32*Bull!E36/(1+$A20)^Bull!E37+Bull!F32*Bull!F36/(1+$A20)^Bull!F37+Bull!G32*Bull!G36/(1+$A20)^Bull!G37+Bull!H32*Bull!H36/(1+$A20)^Bull!H37+Bull!I32*Bull!I36/(1+$A20)^Bull!I37+Bull!J32*Bull!J36/(1+$A20)^Bull!J37+Bull!K32*Bull!K36/(1+$A20)^Bull!K37+Bull!$K$34*F$18/(1+$A20)^Bull!$K$37)+Capital!$B$32-Capital!$B$19-Capital!$B$20-(Capital!$B$27+Capital!$B$25+Capital!$B$26+Capital!$B$28))/(Capital!$B$18+0))&lt;Capital!$C$27,(((Bull!B32*Bull!B36/(1+$A20)^Bull!B37+Bull!C32*Bull!C36/(1+$A20)^Bull!C37+Bull!D32*Bull!D36/(1+$A20)^Bull!D37+Bull!E32*Bull!E36/(1+$A20)^Bull!E37+Bull!F32*Bull!F36/(1+$A20)^Bull!F37+Bull!G32*Bull!G36/(1+$A20)^Bull!G37+Bull!H32*Bull!H36/(1+$A20)^Bull!H37+Bull!I32*Bull!I36/(1+$A20)^Bull!I37+Bull!J32*Bull!J36/(1+$A20)^Bull!J37+Bull!K32*Bull!K36/(1+$A20)^Bull!K37+Bull!$K$34*F$18/(1+$A20)^Bull!$K$37)+Capital!$B$32-Capital!$B$19-Capital!$B$20-(Capital!$B$27+Capital!$B$25+Capital!$B$26+Capital!$B$28))/(Capital!$B$18+0)),(IF((((Bull!B32*Bull!B36/(1+$A20)^Bull!B37+Bull!C32*Bull!C36/(1+$A20)^Bull!C37+Bull!D32*Bull!D36/(1+$A20)^Bull!D37+Bull!E32*Bull!E36/(1+$A20)^Bull!E37+Bull!F32*Bull!F36/(1+$A20)^Bull!F37+Bull!G32*Bull!G36/(1+$A20)^Bull!G37+Bull!H32*Bull!H36/(1+$A20)^Bull!H37+Bull!I32*Bull!I36/(1+$A20)^Bull!I37+Bull!J32*Bull!J36/(1+$A20)^Bull!J37+Bull!K32*Bull!K36/(1+$A20)^Bull!K37+Bull!$K$34*F$18/(1+$A20)^Bull!$K$37)+Capital!$B$32-Capital!$B$19-Capital!$B$20-(Capital!$B$25+Capital!$B$26+Capital!$B$28))/(Capital!$B$18+Capital!$D$27))&lt;Capital!$C$25,(((Bull!B32*Bull!B36/(1+$A20)^Bull!B37+Bull!C32*Bull!C36/(1+$A20)^Bull!C37+Bull!D32*Bull!D36/(1+$A20)^Bull!D37+Bull!E32*Bull!E36/(1+$A20)^Bull!E37+Bull!F32*Bull!F36/(1+$A20)^Bull!F37+Bull!G32*Bull!G36/(1+$A20)^Bull!G37+Bull!H32*Bull!H36/(1+$A20)^Bull!H37+Bull!I32*Bull!I36/(1+$A20)^Bull!I37+Bull!J32*Bull!J36/(1+$A20)^Bull!J37+Bull!K32*Bull!K36/(1+$A20)^Bull!K37+Bull!$K$34*F$18/(1+$A20)^Bull!$K$37)+Capital!$B$32-Capital!$B$19-Capital!$B$20-(Capital!$B$25+Capital!$B$26+Capital!$B$28))/(Capital!$B$18+Capital!$D$27)),(IF((((Bull!B32*Bull!B36/(1+$A20)^Bull!B37+Bull!C32*Bull!C36/(1+$A20)^Bull!C37+Bull!D32*Bull!D36/(1+$A20)^Bull!D37+Bull!E32*Bull!E36/(1+$A20)^Bull!E37+Bull!F32*Bull!F36/(1+$A20)^Bull!F37+Bull!G32*Bull!G36/(1+$A20)^Bull!G37+Bull!H32*Bull!H36/(1+$A20)^Bull!H37+Bull!I32*Bull!I36/(1+$A20)^Bull!I37+Bull!J32*Bull!J36/(1+$A20)^Bull!J37+Bull!K32*Bull!K36/(1+$A20)^Bull!K37+Bull!$K$34*F$18/(1+$A20)^Bull!$K$37)+Capital!$B$32-Capital!$B$19-Capital!$B$20-(Capital!$B$26+Capital!$B$28))/(Capital!$B$18+Capital!$D$27+Capital!$D$25))&lt;Capital!$C$26,(((Bull!B32*Bull!B36/(1+$A20)^Bull!B37+Bull!C32*Bull!C36/(1+$A20)^Bull!C37+Bull!D32*Bull!D36/(1+$A20)^Bull!D37+Bull!E32*Bull!E36/(1+$A20)^Bull!E37+Bull!F32*Bull!F36/(1+$A20)^Bull!F37+Bull!G32*Bull!G36/(1+$A20)^Bull!G37+Bull!H32*Bull!H36/(1+$A20)^Bull!H37+Bull!I32*Bull!I36/(1+$A20)^Bull!I37+Bull!J32*Bull!J36/(1+$A20)^Bull!J37+Bull!K32*Bull!K36/(1+$A20)^Bull!K37+Bull!$K$34*F$18/(1+$A20)^Bull!$K$37)+Capital!$B$32-Capital!$B$19-Capital!$B$20-(Capital!$B$26+Capital!$B$28))/(Capital!$B$18+Capital!$D$27+Capital!$D$25)),(IF((((Bull!B32*Bull!B36/(1+$A20)^Bull!B37+Bull!C32*Bull!C36/(1+$A20)^Bull!C37+Bull!D32*Bull!D36/(1+$A20)^Bull!D37+Bull!E32*Bull!E36/(1+$A20)^Bull!E37+Bull!F32*Bull!F36/(1+$A20)^Bull!F37+Bull!G32*Bull!G36/(1+$A20)^Bull!G37+Bull!H32*Bull!H36/(1+$A20)^Bull!H37+Bull!I32*Bull!I36/(1+$A20)^Bull!I37+Bull!J32*Bull!J36/(1+$A20)^Bull!J37+Bull!K32*Bull!K36/(1+$A20)^Bull!K37+Bull!$K$34*F$18/(1+$A20)^Bull!$K$37)+Capital!$B$32-Capital!$B$19-Capital!$B$20-(Capital!$B$28))/(Capital!$B$18+Capital!$D$27+Capital!$D$25+Capital!$D$26))&lt;Capital!$C$28,(((Bull!B32*Bull!B36/(1+$A20)^Bull!B37+Bull!C32*Bull!C36/(1+$A20)^Bull!C37+Bull!D32*Bull!D36/(1+$A20)^Bull!D37+Bull!E32*Bull!E36/(1+$A20)^Bull!E37+Bull!F32*Bull!F36/(1+$A20)^Bull!F37+Bull!G32*Bull!G36/(1+$A20)^Bull!G37+Bull!H32*Bull!H36/(1+$A20)^Bull!H37+Bull!I32*Bull!I36/(1+$A20)^Bull!I37+Bull!J32*Bull!J36/(1+$A20)^Bull!J37+Bull!K32*Bull!K36/(1+$A20)^Bull!K37+Bull!$K$34*F$18/(1+$A20)^Bull!$K$37)+Capital!$B$32-Capital!$B$19-Capital!$B$20-(Capital!$B$28))/(Capital!$B$18+Capital!$D$27+Capital!$D$25+Capital!$D$26)),(((Bull!B32*Bull!B36/(1+$A20)^Bull!B37+Bull!C32*Bull!C36/(1+$A20)^Bull!C37+Bull!D32*Bull!D36/(1+$A20)^Bull!D37+Bull!E32*Bull!E36/(1+$A20)^Bull!E37+Bull!F32*Bull!F36/(1+$A20)^Bull!F37+Bull!G32*Bull!G36/(1+$A20)^Bull!G37+Bull!H32*Bull!H36/(1+$A20)^Bull!H37+Bull!I32*Bull!I36/(1+$A20)^Bull!I37+Bull!J32*Bull!J36/(1+$A20)^Bull!J37+Bull!K32*Bull!K36/(1+$A20)^Bull!K37+Bull!$K$34*F$18/(1+$A20)^Bull!$K$37)+Capital!$B$32-Capital!$B$19-Capital!$B$20-(0))/(Capital!$B$18+Capital!$D$27+Capital!$D$25+Capital!$D$26+Capital!$D$28)))))))))</f>
        <v>616.77323816698095</v>
      </c>
    </row>
    <row r="21" spans="1:11" ht="15.5" x14ac:dyDescent="0.35">
      <c r="A21" s="7">
        <v>0.1397418089220295</v>
      </c>
      <c r="B21" s="3">
        <f>IF((((Bull!B32*Bull!B36/(1+$A21)^Bull!B37+Bull!C32*Bull!C36/(1+$A21)^Bull!C37+Bull!D32*Bull!D36/(1+$A21)^Bull!D37+Bull!E32*Bull!E36/(1+$A21)^Bull!E37+Bull!F32*Bull!F36/(1+$A21)^Bull!F37+Bull!G32*Bull!G36/(1+$A21)^Bull!G37+Bull!H32*Bull!H36/(1+$A21)^Bull!H37+Bull!I32*Bull!I36/(1+$A21)^Bull!I37+Bull!J32*Bull!J36/(1+$A21)^Bull!J37+Bull!K32*Bull!K36/(1+$A21)^Bull!K37+Bull!$K$34*B$18/(1+$A21)^Bull!$K$37)+Capital!$B$32-Capital!$B$19-Capital!$B$20-(Capital!$B$27+Capital!$B$25+Capital!$B$26+Capital!$B$28))/(Capital!$B$18+0))&lt;Capital!$C$27,(((Bull!B32*Bull!B36/(1+$A21)^Bull!B37+Bull!C32*Bull!C36/(1+$A21)^Bull!C37+Bull!D32*Bull!D36/(1+$A21)^Bull!D37+Bull!E32*Bull!E36/(1+$A21)^Bull!E37+Bull!F32*Bull!F36/(1+$A21)^Bull!F37+Bull!G32*Bull!G36/(1+$A21)^Bull!G37+Bull!H32*Bull!H36/(1+$A21)^Bull!H37+Bull!I32*Bull!I36/(1+$A21)^Bull!I37+Bull!J32*Bull!J36/(1+$A21)^Bull!J37+Bull!K32*Bull!K36/(1+$A21)^Bull!K37+Bull!$K$34*B$18/(1+$A21)^Bull!$K$37)+Capital!$B$32-Capital!$B$19-Capital!$B$20-(Capital!$B$27+Capital!$B$25+Capital!$B$26+Capital!$B$28))/(Capital!$B$18+0)),(IF((((Bull!B32*Bull!B36/(1+$A21)^Bull!B37+Bull!C32*Bull!C36/(1+$A21)^Bull!C37+Bull!D32*Bull!D36/(1+$A21)^Bull!D37+Bull!E32*Bull!E36/(1+$A21)^Bull!E37+Bull!F32*Bull!F36/(1+$A21)^Bull!F37+Bull!G32*Bull!G36/(1+$A21)^Bull!G37+Bull!H32*Bull!H36/(1+$A21)^Bull!H37+Bull!I32*Bull!I36/(1+$A21)^Bull!I37+Bull!J32*Bull!J36/(1+$A21)^Bull!J37+Bull!K32*Bull!K36/(1+$A21)^Bull!K37+Bull!$K$34*B$18/(1+$A21)^Bull!$K$37)+Capital!$B$32-Capital!$B$19-Capital!$B$20-(Capital!$B$25+Capital!$B$26+Capital!$B$28))/(Capital!$B$18+Capital!$D$27))&lt;Capital!$C$25,(((Bull!B32*Bull!B36/(1+$A21)^Bull!B37+Bull!C32*Bull!C36/(1+$A21)^Bull!C37+Bull!D32*Bull!D36/(1+$A21)^Bull!D37+Bull!E32*Bull!E36/(1+$A21)^Bull!E37+Bull!F32*Bull!F36/(1+$A21)^Bull!F37+Bull!G32*Bull!G36/(1+$A21)^Bull!G37+Bull!H32*Bull!H36/(1+$A21)^Bull!H37+Bull!I32*Bull!I36/(1+$A21)^Bull!I37+Bull!J32*Bull!J36/(1+$A21)^Bull!J37+Bull!K32*Bull!K36/(1+$A21)^Bull!K37+Bull!$K$34*B$18/(1+$A21)^Bull!$K$37)+Capital!$B$32-Capital!$B$19-Capital!$B$20-(Capital!$B$25+Capital!$B$26+Capital!$B$28))/(Capital!$B$18+Capital!$D$27)),(IF((((Bull!B32*Bull!B36/(1+$A21)^Bull!B37+Bull!C32*Bull!C36/(1+$A21)^Bull!C37+Bull!D32*Bull!D36/(1+$A21)^Bull!D37+Bull!E32*Bull!E36/(1+$A21)^Bull!E37+Bull!F32*Bull!F36/(1+$A21)^Bull!F37+Bull!G32*Bull!G36/(1+$A21)^Bull!G37+Bull!H32*Bull!H36/(1+$A21)^Bull!H37+Bull!I32*Bull!I36/(1+$A21)^Bull!I37+Bull!J32*Bull!J36/(1+$A21)^Bull!J37+Bull!K32*Bull!K36/(1+$A21)^Bull!K37+Bull!$K$34*B$18/(1+$A21)^Bull!$K$37)+Capital!$B$32-Capital!$B$19-Capital!$B$20-(Capital!$B$26+Capital!$B$28))/(Capital!$B$18+Capital!$D$27+Capital!$D$25))&lt;Capital!$C$26,(((Bull!B32*Bull!B36/(1+$A21)^Bull!B37+Bull!C32*Bull!C36/(1+$A21)^Bull!C37+Bull!D32*Bull!D36/(1+$A21)^Bull!D37+Bull!E32*Bull!E36/(1+$A21)^Bull!E37+Bull!F32*Bull!F36/(1+$A21)^Bull!F37+Bull!G32*Bull!G36/(1+$A21)^Bull!G37+Bull!H32*Bull!H36/(1+$A21)^Bull!H37+Bull!I32*Bull!I36/(1+$A21)^Bull!I37+Bull!J32*Bull!J36/(1+$A21)^Bull!J37+Bull!K32*Bull!K36/(1+$A21)^Bull!K37+Bull!$K$34*B$18/(1+$A21)^Bull!$K$37)+Capital!$B$32-Capital!$B$19-Capital!$B$20-(Capital!$B$26+Capital!$B$28))/(Capital!$B$18+Capital!$D$27+Capital!$D$25)),(IF((((Bull!B32*Bull!B36/(1+$A21)^Bull!B37+Bull!C32*Bull!C36/(1+$A21)^Bull!C37+Bull!D32*Bull!D36/(1+$A21)^Bull!D37+Bull!E32*Bull!E36/(1+$A21)^Bull!E37+Bull!F32*Bull!F36/(1+$A21)^Bull!F37+Bull!G32*Bull!G36/(1+$A21)^Bull!G37+Bull!H32*Bull!H36/(1+$A21)^Bull!H37+Bull!I32*Bull!I36/(1+$A21)^Bull!I37+Bull!J32*Bull!J36/(1+$A21)^Bull!J37+Bull!K32*Bull!K36/(1+$A21)^Bull!K37+Bull!$K$34*B$18/(1+$A21)^Bull!$K$37)+Capital!$B$32-Capital!$B$19-Capital!$B$20-(Capital!$B$28))/(Capital!$B$18+Capital!$D$27+Capital!$D$25+Capital!$D$26))&lt;Capital!$C$28,(((Bull!B32*Bull!B36/(1+$A21)^Bull!B37+Bull!C32*Bull!C36/(1+$A21)^Bull!C37+Bull!D32*Bull!D36/(1+$A21)^Bull!D37+Bull!E32*Bull!E36/(1+$A21)^Bull!E37+Bull!F32*Bull!F36/(1+$A21)^Bull!F37+Bull!G32*Bull!G36/(1+$A21)^Bull!G37+Bull!H32*Bull!H36/(1+$A21)^Bull!H37+Bull!I32*Bull!I36/(1+$A21)^Bull!I37+Bull!J32*Bull!J36/(1+$A21)^Bull!J37+Bull!K32*Bull!K36/(1+$A21)^Bull!K37+Bull!$K$34*B$18/(1+$A21)^Bull!$K$37)+Capital!$B$32-Capital!$B$19-Capital!$B$20-(Capital!$B$28))/(Capital!$B$18+Capital!$D$27+Capital!$D$25+Capital!$D$26)),(((Bull!B32*Bull!B36/(1+$A21)^Bull!B37+Bull!C32*Bull!C36/(1+$A21)^Bull!C37+Bull!D32*Bull!D36/(1+$A21)^Bull!D37+Bull!E32*Bull!E36/(1+$A21)^Bull!E37+Bull!F32*Bull!F36/(1+$A21)^Bull!F37+Bull!G32*Bull!G36/(1+$A21)^Bull!G37+Bull!H32*Bull!H36/(1+$A21)^Bull!H37+Bull!I32*Bull!I36/(1+$A21)^Bull!I37+Bull!J32*Bull!J36/(1+$A21)^Bull!J37+Bull!K32*Bull!K36/(1+$A21)^Bull!K37+Bull!$K$34*B$18/(1+$A21)^Bull!$K$37)+Capital!$B$32-Capital!$B$19-Capital!$B$20-(0))/(Capital!$B$18+Capital!$D$27+Capital!$D$25+Capital!$D$26+Capital!$D$28)))))))))</f>
        <v>422.64485450707713</v>
      </c>
      <c r="C21" s="3">
        <f>IF((((Bull!B32*Bull!B36/(1+$A21)^Bull!B37+Bull!C32*Bull!C36/(1+$A21)^Bull!C37+Bull!D32*Bull!D36/(1+$A21)^Bull!D37+Bull!E32*Bull!E36/(1+$A21)^Bull!E37+Bull!F32*Bull!F36/(1+$A21)^Bull!F37+Bull!G32*Bull!G36/(1+$A21)^Bull!G37+Bull!H32*Bull!H36/(1+$A21)^Bull!H37+Bull!I32*Bull!I36/(1+$A21)^Bull!I37+Bull!J32*Bull!J36/(1+$A21)^Bull!J37+Bull!K32*Bull!K36/(1+$A21)^Bull!K37+Bull!$K$34*C$18/(1+$A21)^Bull!$K$37)+Capital!$B$32-Capital!$B$19-Capital!$B$20-(Capital!$B$27+Capital!$B$25+Capital!$B$26+Capital!$B$28))/(Capital!$B$18+0))&lt;Capital!$C$27,(((Bull!B32*Bull!B36/(1+$A21)^Bull!B37+Bull!C32*Bull!C36/(1+$A21)^Bull!C37+Bull!D32*Bull!D36/(1+$A21)^Bull!D37+Bull!E32*Bull!E36/(1+$A21)^Bull!E37+Bull!F32*Bull!F36/(1+$A21)^Bull!F37+Bull!G32*Bull!G36/(1+$A21)^Bull!G37+Bull!H32*Bull!H36/(1+$A21)^Bull!H37+Bull!I32*Bull!I36/(1+$A21)^Bull!I37+Bull!J32*Bull!J36/(1+$A21)^Bull!J37+Bull!K32*Bull!K36/(1+$A21)^Bull!K37+Bull!$K$34*C$18/(1+$A21)^Bull!$K$37)+Capital!$B$32-Capital!$B$19-Capital!$B$20-(Capital!$B$27+Capital!$B$25+Capital!$B$26+Capital!$B$28))/(Capital!$B$18+0)),(IF((((Bull!B32*Bull!B36/(1+$A21)^Bull!B37+Bull!C32*Bull!C36/(1+$A21)^Bull!C37+Bull!D32*Bull!D36/(1+$A21)^Bull!D37+Bull!E32*Bull!E36/(1+$A21)^Bull!E37+Bull!F32*Bull!F36/(1+$A21)^Bull!F37+Bull!G32*Bull!G36/(1+$A21)^Bull!G37+Bull!H32*Bull!H36/(1+$A21)^Bull!H37+Bull!I32*Bull!I36/(1+$A21)^Bull!I37+Bull!J32*Bull!J36/(1+$A21)^Bull!J37+Bull!K32*Bull!K36/(1+$A21)^Bull!K37+Bull!$K$34*C$18/(1+$A21)^Bull!$K$37)+Capital!$B$32-Capital!$B$19-Capital!$B$20-(Capital!$B$25+Capital!$B$26+Capital!$B$28))/(Capital!$B$18+Capital!$D$27))&lt;Capital!$C$25,(((Bull!B32*Bull!B36/(1+$A21)^Bull!B37+Bull!C32*Bull!C36/(1+$A21)^Bull!C37+Bull!D32*Bull!D36/(1+$A21)^Bull!D37+Bull!E32*Bull!E36/(1+$A21)^Bull!E37+Bull!F32*Bull!F36/(1+$A21)^Bull!F37+Bull!G32*Bull!G36/(1+$A21)^Bull!G37+Bull!H32*Bull!H36/(1+$A21)^Bull!H37+Bull!I32*Bull!I36/(1+$A21)^Bull!I37+Bull!J32*Bull!J36/(1+$A21)^Bull!J37+Bull!K32*Bull!K36/(1+$A21)^Bull!K37+Bull!$K$34*C$18/(1+$A21)^Bull!$K$37)+Capital!$B$32-Capital!$B$19-Capital!$B$20-(Capital!$B$25+Capital!$B$26+Capital!$B$28))/(Capital!$B$18+Capital!$D$27)),(IF((((Bull!B32*Bull!B36/(1+$A21)^Bull!B37+Bull!C32*Bull!C36/(1+$A21)^Bull!C37+Bull!D32*Bull!D36/(1+$A21)^Bull!D37+Bull!E32*Bull!E36/(1+$A21)^Bull!E37+Bull!F32*Bull!F36/(1+$A21)^Bull!F37+Bull!G32*Bull!G36/(1+$A21)^Bull!G37+Bull!H32*Bull!H36/(1+$A21)^Bull!H37+Bull!I32*Bull!I36/(1+$A21)^Bull!I37+Bull!J32*Bull!J36/(1+$A21)^Bull!J37+Bull!K32*Bull!K36/(1+$A21)^Bull!K37+Bull!$K$34*C$18/(1+$A21)^Bull!$K$37)+Capital!$B$32-Capital!$B$19-Capital!$B$20-(Capital!$B$26+Capital!$B$28))/(Capital!$B$18+Capital!$D$27+Capital!$D$25))&lt;Capital!$C$26,(((Bull!B32*Bull!B36/(1+$A21)^Bull!B37+Bull!C32*Bull!C36/(1+$A21)^Bull!C37+Bull!D32*Bull!D36/(1+$A21)^Bull!D37+Bull!E32*Bull!E36/(1+$A21)^Bull!E37+Bull!F32*Bull!F36/(1+$A21)^Bull!F37+Bull!G32*Bull!G36/(1+$A21)^Bull!G37+Bull!H32*Bull!H36/(1+$A21)^Bull!H37+Bull!I32*Bull!I36/(1+$A21)^Bull!I37+Bull!J32*Bull!J36/(1+$A21)^Bull!J37+Bull!K32*Bull!K36/(1+$A21)^Bull!K37+Bull!$K$34*C$18/(1+$A21)^Bull!$K$37)+Capital!$B$32-Capital!$B$19-Capital!$B$20-(Capital!$B$26+Capital!$B$28))/(Capital!$B$18+Capital!$D$27+Capital!$D$25)),(IF((((Bull!B32*Bull!B36/(1+$A21)^Bull!B37+Bull!C32*Bull!C36/(1+$A21)^Bull!C37+Bull!D32*Bull!D36/(1+$A21)^Bull!D37+Bull!E32*Bull!E36/(1+$A21)^Bull!E37+Bull!F32*Bull!F36/(1+$A21)^Bull!F37+Bull!G32*Bull!G36/(1+$A21)^Bull!G37+Bull!H32*Bull!H36/(1+$A21)^Bull!H37+Bull!I32*Bull!I36/(1+$A21)^Bull!I37+Bull!J32*Bull!J36/(1+$A21)^Bull!J37+Bull!K32*Bull!K36/(1+$A21)^Bull!K37+Bull!$K$34*C$18/(1+$A21)^Bull!$K$37)+Capital!$B$32-Capital!$B$19-Capital!$B$20-(Capital!$B$28))/(Capital!$B$18+Capital!$D$27+Capital!$D$25+Capital!$D$26))&lt;Capital!$C$28,(((Bull!B32*Bull!B36/(1+$A21)^Bull!B37+Bull!C32*Bull!C36/(1+$A21)^Bull!C37+Bull!D32*Bull!D36/(1+$A21)^Bull!D37+Bull!E32*Bull!E36/(1+$A21)^Bull!E37+Bull!F32*Bull!F36/(1+$A21)^Bull!F37+Bull!G32*Bull!G36/(1+$A21)^Bull!G37+Bull!H32*Bull!H36/(1+$A21)^Bull!H37+Bull!I32*Bull!I36/(1+$A21)^Bull!I37+Bull!J32*Bull!J36/(1+$A21)^Bull!J37+Bull!K32*Bull!K36/(1+$A21)^Bull!K37+Bull!$K$34*C$18/(1+$A21)^Bull!$K$37)+Capital!$B$32-Capital!$B$19-Capital!$B$20-(Capital!$B$28))/(Capital!$B$18+Capital!$D$27+Capital!$D$25+Capital!$D$26)),(((Bull!B32*Bull!B36/(1+$A21)^Bull!B37+Bull!C32*Bull!C36/(1+$A21)^Bull!C37+Bull!D32*Bull!D36/(1+$A21)^Bull!D37+Bull!E32*Bull!E36/(1+$A21)^Bull!E37+Bull!F32*Bull!F36/(1+$A21)^Bull!F37+Bull!G32*Bull!G36/(1+$A21)^Bull!G37+Bull!H32*Bull!H36/(1+$A21)^Bull!H37+Bull!I32*Bull!I36/(1+$A21)^Bull!I37+Bull!J32*Bull!J36/(1+$A21)^Bull!J37+Bull!K32*Bull!K36/(1+$A21)^Bull!K37+Bull!$K$34*C$18/(1+$A21)^Bull!$K$37)+Capital!$B$32-Capital!$B$19-Capital!$B$20-(0))/(Capital!$B$18+Capital!$D$27+Capital!$D$25+Capital!$D$26+Capital!$D$28)))))))))</f>
        <v>460.586253648899</v>
      </c>
      <c r="D21" s="3">
        <f>IF((((Bull!B32*Bull!B36/(1+$A21)^Bull!B37+Bull!C32*Bull!C36/(1+$A21)^Bull!C37+Bull!D32*Bull!D36/(1+$A21)^Bull!D37+Bull!E32*Bull!E36/(1+$A21)^Bull!E37+Bull!F32*Bull!F36/(1+$A21)^Bull!F37+Bull!G32*Bull!G36/(1+$A21)^Bull!G37+Bull!H32*Bull!H36/(1+$A21)^Bull!H37+Bull!I32*Bull!I36/(1+$A21)^Bull!I37+Bull!J32*Bull!J36/(1+$A21)^Bull!J37+Bull!K32*Bull!K36/(1+$A21)^Bull!K37+Bull!$K$34*D$18/(1+$A21)^Bull!$K$37)+Capital!$B$32-Capital!$B$19-Capital!$B$20-(Capital!$B$27+Capital!$B$25+Capital!$B$26+Capital!$B$28))/(Capital!$B$18+0))&lt;Capital!$C$27,(((Bull!B32*Bull!B36/(1+$A21)^Bull!B37+Bull!C32*Bull!C36/(1+$A21)^Bull!C37+Bull!D32*Bull!D36/(1+$A21)^Bull!D37+Bull!E32*Bull!E36/(1+$A21)^Bull!E37+Bull!F32*Bull!F36/(1+$A21)^Bull!F37+Bull!G32*Bull!G36/(1+$A21)^Bull!G37+Bull!H32*Bull!H36/(1+$A21)^Bull!H37+Bull!I32*Bull!I36/(1+$A21)^Bull!I37+Bull!J32*Bull!J36/(1+$A21)^Bull!J37+Bull!K32*Bull!K36/(1+$A21)^Bull!K37+Bull!$K$34*D$18/(1+$A21)^Bull!$K$37)+Capital!$B$32-Capital!$B$19-Capital!$B$20-(Capital!$B$27+Capital!$B$25+Capital!$B$26+Capital!$B$28))/(Capital!$B$18+0)),(IF((((Bull!B32*Bull!B36/(1+$A21)^Bull!B37+Bull!C32*Bull!C36/(1+$A21)^Bull!C37+Bull!D32*Bull!D36/(1+$A21)^Bull!D37+Bull!E32*Bull!E36/(1+$A21)^Bull!E37+Bull!F32*Bull!F36/(1+$A21)^Bull!F37+Bull!G32*Bull!G36/(1+$A21)^Bull!G37+Bull!H32*Bull!H36/(1+$A21)^Bull!H37+Bull!I32*Bull!I36/(1+$A21)^Bull!I37+Bull!J32*Bull!J36/(1+$A21)^Bull!J37+Bull!K32*Bull!K36/(1+$A21)^Bull!K37+Bull!$K$34*D$18/(1+$A21)^Bull!$K$37)+Capital!$B$32-Capital!$B$19-Capital!$B$20-(Capital!$B$25+Capital!$B$26+Capital!$B$28))/(Capital!$B$18+Capital!$D$27))&lt;Capital!$C$25,(((Bull!B32*Bull!B36/(1+$A21)^Bull!B37+Bull!C32*Bull!C36/(1+$A21)^Bull!C37+Bull!D32*Bull!D36/(1+$A21)^Bull!D37+Bull!E32*Bull!E36/(1+$A21)^Bull!E37+Bull!F32*Bull!F36/(1+$A21)^Bull!F37+Bull!G32*Bull!G36/(1+$A21)^Bull!G37+Bull!H32*Bull!H36/(1+$A21)^Bull!H37+Bull!I32*Bull!I36/(1+$A21)^Bull!I37+Bull!J32*Bull!J36/(1+$A21)^Bull!J37+Bull!K32*Bull!K36/(1+$A21)^Bull!K37+Bull!$K$34*D$18/(1+$A21)^Bull!$K$37)+Capital!$B$32-Capital!$B$19-Capital!$B$20-(Capital!$B$25+Capital!$B$26+Capital!$B$28))/(Capital!$B$18+Capital!$D$27)),(IF((((Bull!B32*Bull!B36/(1+$A21)^Bull!B37+Bull!C32*Bull!C36/(1+$A21)^Bull!C37+Bull!D32*Bull!D36/(1+$A21)^Bull!D37+Bull!E32*Bull!E36/(1+$A21)^Bull!E37+Bull!F32*Bull!F36/(1+$A21)^Bull!F37+Bull!G32*Bull!G36/(1+$A21)^Bull!G37+Bull!H32*Bull!H36/(1+$A21)^Bull!H37+Bull!I32*Bull!I36/(1+$A21)^Bull!I37+Bull!J32*Bull!J36/(1+$A21)^Bull!J37+Bull!K32*Bull!K36/(1+$A21)^Bull!K37+Bull!$K$34*D$18/(1+$A21)^Bull!$K$37)+Capital!$B$32-Capital!$B$19-Capital!$B$20-(Capital!$B$26+Capital!$B$28))/(Capital!$B$18+Capital!$D$27+Capital!$D$25))&lt;Capital!$C$26,(((Bull!B32*Bull!B36/(1+$A21)^Bull!B37+Bull!C32*Bull!C36/(1+$A21)^Bull!C37+Bull!D32*Bull!D36/(1+$A21)^Bull!D37+Bull!E32*Bull!E36/(1+$A21)^Bull!E37+Bull!F32*Bull!F36/(1+$A21)^Bull!F37+Bull!G32*Bull!G36/(1+$A21)^Bull!G37+Bull!H32*Bull!H36/(1+$A21)^Bull!H37+Bull!I32*Bull!I36/(1+$A21)^Bull!I37+Bull!J32*Bull!J36/(1+$A21)^Bull!J37+Bull!K32*Bull!K36/(1+$A21)^Bull!K37+Bull!$K$34*D$18/(1+$A21)^Bull!$K$37)+Capital!$B$32-Capital!$B$19-Capital!$B$20-(Capital!$B$26+Capital!$B$28))/(Capital!$B$18+Capital!$D$27+Capital!$D$25)),(IF((((Bull!B32*Bull!B36/(1+$A21)^Bull!B37+Bull!C32*Bull!C36/(1+$A21)^Bull!C37+Bull!D32*Bull!D36/(1+$A21)^Bull!D37+Bull!E32*Bull!E36/(1+$A21)^Bull!E37+Bull!F32*Bull!F36/(1+$A21)^Bull!F37+Bull!G32*Bull!G36/(1+$A21)^Bull!G37+Bull!H32*Bull!H36/(1+$A21)^Bull!H37+Bull!I32*Bull!I36/(1+$A21)^Bull!I37+Bull!J32*Bull!J36/(1+$A21)^Bull!J37+Bull!K32*Bull!K36/(1+$A21)^Bull!K37+Bull!$K$34*D$18/(1+$A21)^Bull!$K$37)+Capital!$B$32-Capital!$B$19-Capital!$B$20-(Capital!$B$28))/(Capital!$B$18+Capital!$D$27+Capital!$D$25+Capital!$D$26))&lt;Capital!$C$28,(((Bull!B32*Bull!B36/(1+$A21)^Bull!B37+Bull!C32*Bull!C36/(1+$A21)^Bull!C37+Bull!D32*Bull!D36/(1+$A21)^Bull!D37+Bull!E32*Bull!E36/(1+$A21)^Bull!E37+Bull!F32*Bull!F36/(1+$A21)^Bull!F37+Bull!G32*Bull!G36/(1+$A21)^Bull!G37+Bull!H32*Bull!H36/(1+$A21)^Bull!H37+Bull!I32*Bull!I36/(1+$A21)^Bull!I37+Bull!J32*Bull!J36/(1+$A21)^Bull!J37+Bull!K32*Bull!K36/(1+$A21)^Bull!K37+Bull!$K$34*D$18/(1+$A21)^Bull!$K$37)+Capital!$B$32-Capital!$B$19-Capital!$B$20-(Capital!$B$28))/(Capital!$B$18+Capital!$D$27+Capital!$D$25+Capital!$D$26)),(((Bull!B32*Bull!B36/(1+$A21)^Bull!B37+Bull!C32*Bull!C36/(1+$A21)^Bull!C37+Bull!D32*Bull!D36/(1+$A21)^Bull!D37+Bull!E32*Bull!E36/(1+$A21)^Bull!E37+Bull!F32*Bull!F36/(1+$A21)^Bull!F37+Bull!G32*Bull!G36/(1+$A21)^Bull!G37+Bull!H32*Bull!H36/(1+$A21)^Bull!H37+Bull!I32*Bull!I36/(1+$A21)^Bull!I37+Bull!J32*Bull!J36/(1+$A21)^Bull!J37+Bull!K32*Bull!K36/(1+$A21)^Bull!K37+Bull!$K$34*D$18/(1+$A21)^Bull!$K$37)+Capital!$B$32-Capital!$B$19-Capital!$B$20-(0))/(Capital!$B$18+Capital!$D$27+Capital!$D$25+Capital!$D$26+Capital!$D$28)))))))))</f>
        <v>498.52765279072077</v>
      </c>
      <c r="E21" s="3">
        <f>IF((((Bull!B32*Bull!B36/(1+$A21)^Bull!B37+Bull!C32*Bull!C36/(1+$A21)^Bull!C37+Bull!D32*Bull!D36/(1+$A21)^Bull!D37+Bull!E32*Bull!E36/(1+$A21)^Bull!E37+Bull!F32*Bull!F36/(1+$A21)^Bull!F37+Bull!G32*Bull!G36/(1+$A21)^Bull!G37+Bull!H32*Bull!H36/(1+$A21)^Bull!H37+Bull!I32*Bull!I36/(1+$A21)^Bull!I37+Bull!J32*Bull!J36/(1+$A21)^Bull!J37+Bull!K32*Bull!K36/(1+$A21)^Bull!K37+Bull!$K$34*E$18/(1+$A21)^Bull!$K$37)+Capital!$B$32-Capital!$B$19-Capital!$B$20-(Capital!$B$27+Capital!$B$25+Capital!$B$26+Capital!$B$28))/(Capital!$B$18+0))&lt;Capital!$C$27,(((Bull!B32*Bull!B36/(1+$A21)^Bull!B37+Bull!C32*Bull!C36/(1+$A21)^Bull!C37+Bull!D32*Bull!D36/(1+$A21)^Bull!D37+Bull!E32*Bull!E36/(1+$A21)^Bull!E37+Bull!F32*Bull!F36/(1+$A21)^Bull!F37+Bull!G32*Bull!G36/(1+$A21)^Bull!G37+Bull!H32*Bull!H36/(1+$A21)^Bull!H37+Bull!I32*Bull!I36/(1+$A21)^Bull!I37+Bull!J32*Bull!J36/(1+$A21)^Bull!J37+Bull!K32*Bull!K36/(1+$A21)^Bull!K37+Bull!$K$34*E$18/(1+$A21)^Bull!$K$37)+Capital!$B$32-Capital!$B$19-Capital!$B$20-(Capital!$B$27+Capital!$B$25+Capital!$B$26+Capital!$B$28))/(Capital!$B$18+0)),(IF((((Bull!B32*Bull!B36/(1+$A21)^Bull!B37+Bull!C32*Bull!C36/(1+$A21)^Bull!C37+Bull!D32*Bull!D36/(1+$A21)^Bull!D37+Bull!E32*Bull!E36/(1+$A21)^Bull!E37+Bull!F32*Bull!F36/(1+$A21)^Bull!F37+Bull!G32*Bull!G36/(1+$A21)^Bull!G37+Bull!H32*Bull!H36/(1+$A21)^Bull!H37+Bull!I32*Bull!I36/(1+$A21)^Bull!I37+Bull!J32*Bull!J36/(1+$A21)^Bull!J37+Bull!K32*Bull!K36/(1+$A21)^Bull!K37+Bull!$K$34*E$18/(1+$A21)^Bull!$K$37)+Capital!$B$32-Capital!$B$19-Capital!$B$20-(Capital!$B$25+Capital!$B$26+Capital!$B$28))/(Capital!$B$18+Capital!$D$27))&lt;Capital!$C$25,(((Bull!B32*Bull!B36/(1+$A21)^Bull!B37+Bull!C32*Bull!C36/(1+$A21)^Bull!C37+Bull!D32*Bull!D36/(1+$A21)^Bull!D37+Bull!E32*Bull!E36/(1+$A21)^Bull!E37+Bull!F32*Bull!F36/(1+$A21)^Bull!F37+Bull!G32*Bull!G36/(1+$A21)^Bull!G37+Bull!H32*Bull!H36/(1+$A21)^Bull!H37+Bull!I32*Bull!I36/(1+$A21)^Bull!I37+Bull!J32*Bull!J36/(1+$A21)^Bull!J37+Bull!K32*Bull!K36/(1+$A21)^Bull!K37+Bull!$K$34*E$18/(1+$A21)^Bull!$K$37)+Capital!$B$32-Capital!$B$19-Capital!$B$20-(Capital!$B$25+Capital!$B$26+Capital!$B$28))/(Capital!$B$18+Capital!$D$27)),(IF((((Bull!B32*Bull!B36/(1+$A21)^Bull!B37+Bull!C32*Bull!C36/(1+$A21)^Bull!C37+Bull!D32*Bull!D36/(1+$A21)^Bull!D37+Bull!E32*Bull!E36/(1+$A21)^Bull!E37+Bull!F32*Bull!F36/(1+$A21)^Bull!F37+Bull!G32*Bull!G36/(1+$A21)^Bull!G37+Bull!H32*Bull!H36/(1+$A21)^Bull!H37+Bull!I32*Bull!I36/(1+$A21)^Bull!I37+Bull!J32*Bull!J36/(1+$A21)^Bull!J37+Bull!K32*Bull!K36/(1+$A21)^Bull!K37+Bull!$K$34*E$18/(1+$A21)^Bull!$K$37)+Capital!$B$32-Capital!$B$19-Capital!$B$20-(Capital!$B$26+Capital!$B$28))/(Capital!$B$18+Capital!$D$27+Capital!$D$25))&lt;Capital!$C$26,(((Bull!B32*Bull!B36/(1+$A21)^Bull!B37+Bull!C32*Bull!C36/(1+$A21)^Bull!C37+Bull!D32*Bull!D36/(1+$A21)^Bull!D37+Bull!E32*Bull!E36/(1+$A21)^Bull!E37+Bull!F32*Bull!F36/(1+$A21)^Bull!F37+Bull!G32*Bull!G36/(1+$A21)^Bull!G37+Bull!H32*Bull!H36/(1+$A21)^Bull!H37+Bull!I32*Bull!I36/(1+$A21)^Bull!I37+Bull!J32*Bull!J36/(1+$A21)^Bull!J37+Bull!K32*Bull!K36/(1+$A21)^Bull!K37+Bull!$K$34*E$18/(1+$A21)^Bull!$K$37)+Capital!$B$32-Capital!$B$19-Capital!$B$20-(Capital!$B$26+Capital!$B$28))/(Capital!$B$18+Capital!$D$27+Capital!$D$25)),(IF((((Bull!B32*Bull!B36/(1+$A21)^Bull!B37+Bull!C32*Bull!C36/(1+$A21)^Bull!C37+Bull!D32*Bull!D36/(1+$A21)^Bull!D37+Bull!E32*Bull!E36/(1+$A21)^Bull!E37+Bull!F32*Bull!F36/(1+$A21)^Bull!F37+Bull!G32*Bull!G36/(1+$A21)^Bull!G37+Bull!H32*Bull!H36/(1+$A21)^Bull!H37+Bull!I32*Bull!I36/(1+$A21)^Bull!I37+Bull!J32*Bull!J36/(1+$A21)^Bull!J37+Bull!K32*Bull!K36/(1+$A21)^Bull!K37+Bull!$K$34*E$18/(1+$A21)^Bull!$K$37)+Capital!$B$32-Capital!$B$19-Capital!$B$20-(Capital!$B$28))/(Capital!$B$18+Capital!$D$27+Capital!$D$25+Capital!$D$26))&lt;Capital!$C$28,(((Bull!B32*Bull!B36/(1+$A21)^Bull!B37+Bull!C32*Bull!C36/(1+$A21)^Bull!C37+Bull!D32*Bull!D36/(1+$A21)^Bull!D37+Bull!E32*Bull!E36/(1+$A21)^Bull!E37+Bull!F32*Bull!F36/(1+$A21)^Bull!F37+Bull!G32*Bull!G36/(1+$A21)^Bull!G37+Bull!H32*Bull!H36/(1+$A21)^Bull!H37+Bull!I32*Bull!I36/(1+$A21)^Bull!I37+Bull!J32*Bull!J36/(1+$A21)^Bull!J37+Bull!K32*Bull!K36/(1+$A21)^Bull!K37+Bull!$K$34*E$18/(1+$A21)^Bull!$K$37)+Capital!$B$32-Capital!$B$19-Capital!$B$20-(Capital!$B$28))/(Capital!$B$18+Capital!$D$27+Capital!$D$25+Capital!$D$26)),(((Bull!B32*Bull!B36/(1+$A21)^Bull!B37+Bull!C32*Bull!C36/(1+$A21)^Bull!C37+Bull!D32*Bull!D36/(1+$A21)^Bull!D37+Bull!E32*Bull!E36/(1+$A21)^Bull!E37+Bull!F32*Bull!F36/(1+$A21)^Bull!F37+Bull!G32*Bull!G36/(1+$A21)^Bull!G37+Bull!H32*Bull!H36/(1+$A21)^Bull!H37+Bull!I32*Bull!I36/(1+$A21)^Bull!I37+Bull!J32*Bull!J36/(1+$A21)^Bull!J37+Bull!K32*Bull!K36/(1+$A21)^Bull!K37+Bull!$K$34*E$18/(1+$A21)^Bull!$K$37)+Capital!$B$32-Capital!$B$19-Capital!$B$20-(0))/(Capital!$B$18+Capital!$D$27+Capital!$D$25+Capital!$D$26+Capital!$D$28)))))))))</f>
        <v>536.46905193254258</v>
      </c>
      <c r="F21" s="3">
        <f>IF((((Bull!B32*Bull!B36/(1+$A21)^Bull!B37+Bull!C32*Bull!C36/(1+$A21)^Bull!C37+Bull!D32*Bull!D36/(1+$A21)^Bull!D37+Bull!E32*Bull!E36/(1+$A21)^Bull!E37+Bull!F32*Bull!F36/(1+$A21)^Bull!F37+Bull!G32*Bull!G36/(1+$A21)^Bull!G37+Bull!H32*Bull!H36/(1+$A21)^Bull!H37+Bull!I32*Bull!I36/(1+$A21)^Bull!I37+Bull!J32*Bull!J36/(1+$A21)^Bull!J37+Bull!K32*Bull!K36/(1+$A21)^Bull!K37+Bull!$K$34*F$18/(1+$A21)^Bull!$K$37)+Capital!$B$32-Capital!$B$19-Capital!$B$20-(Capital!$B$27+Capital!$B$25+Capital!$B$26+Capital!$B$28))/(Capital!$B$18+0))&lt;Capital!$C$27,(((Bull!B32*Bull!B36/(1+$A21)^Bull!B37+Bull!C32*Bull!C36/(1+$A21)^Bull!C37+Bull!D32*Bull!D36/(1+$A21)^Bull!D37+Bull!E32*Bull!E36/(1+$A21)^Bull!E37+Bull!F32*Bull!F36/(1+$A21)^Bull!F37+Bull!G32*Bull!G36/(1+$A21)^Bull!G37+Bull!H32*Bull!H36/(1+$A21)^Bull!H37+Bull!I32*Bull!I36/(1+$A21)^Bull!I37+Bull!J32*Bull!J36/(1+$A21)^Bull!J37+Bull!K32*Bull!K36/(1+$A21)^Bull!K37+Bull!$K$34*F$18/(1+$A21)^Bull!$K$37)+Capital!$B$32-Capital!$B$19-Capital!$B$20-(Capital!$B$27+Capital!$B$25+Capital!$B$26+Capital!$B$28))/(Capital!$B$18+0)),(IF((((Bull!B32*Bull!B36/(1+$A21)^Bull!B37+Bull!C32*Bull!C36/(1+$A21)^Bull!C37+Bull!D32*Bull!D36/(1+$A21)^Bull!D37+Bull!E32*Bull!E36/(1+$A21)^Bull!E37+Bull!F32*Bull!F36/(1+$A21)^Bull!F37+Bull!G32*Bull!G36/(1+$A21)^Bull!G37+Bull!H32*Bull!H36/(1+$A21)^Bull!H37+Bull!I32*Bull!I36/(1+$A21)^Bull!I37+Bull!J32*Bull!J36/(1+$A21)^Bull!J37+Bull!K32*Bull!K36/(1+$A21)^Bull!K37+Bull!$K$34*F$18/(1+$A21)^Bull!$K$37)+Capital!$B$32-Capital!$B$19-Capital!$B$20-(Capital!$B$25+Capital!$B$26+Capital!$B$28))/(Capital!$B$18+Capital!$D$27))&lt;Capital!$C$25,(((Bull!B32*Bull!B36/(1+$A21)^Bull!B37+Bull!C32*Bull!C36/(1+$A21)^Bull!C37+Bull!D32*Bull!D36/(1+$A21)^Bull!D37+Bull!E32*Bull!E36/(1+$A21)^Bull!E37+Bull!F32*Bull!F36/(1+$A21)^Bull!F37+Bull!G32*Bull!G36/(1+$A21)^Bull!G37+Bull!H32*Bull!H36/(1+$A21)^Bull!H37+Bull!I32*Bull!I36/(1+$A21)^Bull!I37+Bull!J32*Bull!J36/(1+$A21)^Bull!J37+Bull!K32*Bull!K36/(1+$A21)^Bull!K37+Bull!$K$34*F$18/(1+$A21)^Bull!$K$37)+Capital!$B$32-Capital!$B$19-Capital!$B$20-(Capital!$B$25+Capital!$B$26+Capital!$B$28))/(Capital!$B$18+Capital!$D$27)),(IF((((Bull!B32*Bull!B36/(1+$A21)^Bull!B37+Bull!C32*Bull!C36/(1+$A21)^Bull!C37+Bull!D32*Bull!D36/(1+$A21)^Bull!D37+Bull!E32*Bull!E36/(1+$A21)^Bull!E37+Bull!F32*Bull!F36/(1+$A21)^Bull!F37+Bull!G32*Bull!G36/(1+$A21)^Bull!G37+Bull!H32*Bull!H36/(1+$A21)^Bull!H37+Bull!I32*Bull!I36/(1+$A21)^Bull!I37+Bull!J32*Bull!J36/(1+$A21)^Bull!J37+Bull!K32*Bull!K36/(1+$A21)^Bull!K37+Bull!$K$34*F$18/(1+$A21)^Bull!$K$37)+Capital!$B$32-Capital!$B$19-Capital!$B$20-(Capital!$B$26+Capital!$B$28))/(Capital!$B$18+Capital!$D$27+Capital!$D$25))&lt;Capital!$C$26,(((Bull!B32*Bull!B36/(1+$A21)^Bull!B37+Bull!C32*Bull!C36/(1+$A21)^Bull!C37+Bull!D32*Bull!D36/(1+$A21)^Bull!D37+Bull!E32*Bull!E36/(1+$A21)^Bull!E37+Bull!F32*Bull!F36/(1+$A21)^Bull!F37+Bull!G32*Bull!G36/(1+$A21)^Bull!G37+Bull!H32*Bull!H36/(1+$A21)^Bull!H37+Bull!I32*Bull!I36/(1+$A21)^Bull!I37+Bull!J32*Bull!J36/(1+$A21)^Bull!J37+Bull!K32*Bull!K36/(1+$A21)^Bull!K37+Bull!$K$34*F$18/(1+$A21)^Bull!$K$37)+Capital!$B$32-Capital!$B$19-Capital!$B$20-(Capital!$B$26+Capital!$B$28))/(Capital!$B$18+Capital!$D$27+Capital!$D$25)),(IF((((Bull!B32*Bull!B36/(1+$A21)^Bull!B37+Bull!C32*Bull!C36/(1+$A21)^Bull!C37+Bull!D32*Bull!D36/(1+$A21)^Bull!D37+Bull!E32*Bull!E36/(1+$A21)^Bull!E37+Bull!F32*Bull!F36/(1+$A21)^Bull!F37+Bull!G32*Bull!G36/(1+$A21)^Bull!G37+Bull!H32*Bull!H36/(1+$A21)^Bull!H37+Bull!I32*Bull!I36/(1+$A21)^Bull!I37+Bull!J32*Bull!J36/(1+$A21)^Bull!J37+Bull!K32*Bull!K36/(1+$A21)^Bull!K37+Bull!$K$34*F$18/(1+$A21)^Bull!$K$37)+Capital!$B$32-Capital!$B$19-Capital!$B$20-(Capital!$B$28))/(Capital!$B$18+Capital!$D$27+Capital!$D$25+Capital!$D$26))&lt;Capital!$C$28,(((Bull!B32*Bull!B36/(1+$A21)^Bull!B37+Bull!C32*Bull!C36/(1+$A21)^Bull!C37+Bull!D32*Bull!D36/(1+$A21)^Bull!D37+Bull!E32*Bull!E36/(1+$A21)^Bull!E37+Bull!F32*Bull!F36/(1+$A21)^Bull!F37+Bull!G32*Bull!G36/(1+$A21)^Bull!G37+Bull!H32*Bull!H36/(1+$A21)^Bull!H37+Bull!I32*Bull!I36/(1+$A21)^Bull!I37+Bull!J32*Bull!J36/(1+$A21)^Bull!J37+Bull!K32*Bull!K36/(1+$A21)^Bull!K37+Bull!$K$34*F$18/(1+$A21)^Bull!$K$37)+Capital!$B$32-Capital!$B$19-Capital!$B$20-(Capital!$B$28))/(Capital!$B$18+Capital!$D$27+Capital!$D$25+Capital!$D$26)),(((Bull!B32*Bull!B36/(1+$A21)^Bull!B37+Bull!C32*Bull!C36/(1+$A21)^Bull!C37+Bull!D32*Bull!D36/(1+$A21)^Bull!D37+Bull!E32*Bull!E36/(1+$A21)^Bull!E37+Bull!F32*Bull!F36/(1+$A21)^Bull!F37+Bull!G32*Bull!G36/(1+$A21)^Bull!G37+Bull!H32*Bull!H36/(1+$A21)^Bull!H37+Bull!I32*Bull!I36/(1+$A21)^Bull!I37+Bull!J32*Bull!J36/(1+$A21)^Bull!J37+Bull!K32*Bull!K36/(1+$A21)^Bull!K37+Bull!$K$34*F$18/(1+$A21)^Bull!$K$37)+Capital!$B$32-Capital!$B$19-Capital!$B$20-(0))/(Capital!$B$18+Capital!$D$27+Capital!$D$25+Capital!$D$26+Capital!$D$28)))))))))</f>
        <v>574.41045107436457</v>
      </c>
    </row>
    <row r="22" spans="1:11" ht="15.5" x14ac:dyDescent="0.35">
      <c r="A22" s="7">
        <v>0.14974180892202951</v>
      </c>
      <c r="B22" s="3">
        <f>IF((((Bull!B32*Bull!B36/(1+$A22)^Bull!B37+Bull!C32*Bull!C36/(1+$A22)^Bull!C37+Bull!D32*Bull!D36/(1+$A22)^Bull!D37+Bull!E32*Bull!E36/(1+$A22)^Bull!E37+Bull!F32*Bull!F36/(1+$A22)^Bull!F37+Bull!G32*Bull!G36/(1+$A22)^Bull!G37+Bull!H32*Bull!H36/(1+$A22)^Bull!H37+Bull!I32*Bull!I36/(1+$A22)^Bull!I37+Bull!J32*Bull!J36/(1+$A22)^Bull!J37+Bull!K32*Bull!K36/(1+$A22)^Bull!K37+Bull!$K$34*B$18/(1+$A22)^Bull!$K$37)+Capital!$B$32-Capital!$B$19-Capital!$B$20-(Capital!$B$27+Capital!$B$25+Capital!$B$26+Capital!$B$28))/(Capital!$B$18+0))&lt;Capital!$C$27,(((Bull!B32*Bull!B36/(1+$A22)^Bull!B37+Bull!C32*Bull!C36/(1+$A22)^Bull!C37+Bull!D32*Bull!D36/(1+$A22)^Bull!D37+Bull!E32*Bull!E36/(1+$A22)^Bull!E37+Bull!F32*Bull!F36/(1+$A22)^Bull!F37+Bull!G32*Bull!G36/(1+$A22)^Bull!G37+Bull!H32*Bull!H36/(1+$A22)^Bull!H37+Bull!I32*Bull!I36/(1+$A22)^Bull!I37+Bull!J32*Bull!J36/(1+$A22)^Bull!J37+Bull!K32*Bull!K36/(1+$A22)^Bull!K37+Bull!$K$34*B$18/(1+$A22)^Bull!$K$37)+Capital!$B$32-Capital!$B$19-Capital!$B$20-(Capital!$B$27+Capital!$B$25+Capital!$B$26+Capital!$B$28))/(Capital!$B$18+0)),(IF((((Bull!B32*Bull!B36/(1+$A22)^Bull!B37+Bull!C32*Bull!C36/(1+$A22)^Bull!C37+Bull!D32*Bull!D36/(1+$A22)^Bull!D37+Bull!E32*Bull!E36/(1+$A22)^Bull!E37+Bull!F32*Bull!F36/(1+$A22)^Bull!F37+Bull!G32*Bull!G36/(1+$A22)^Bull!G37+Bull!H32*Bull!H36/(1+$A22)^Bull!H37+Bull!I32*Bull!I36/(1+$A22)^Bull!I37+Bull!J32*Bull!J36/(1+$A22)^Bull!J37+Bull!K32*Bull!K36/(1+$A22)^Bull!K37+Bull!$K$34*B$18/(1+$A22)^Bull!$K$37)+Capital!$B$32-Capital!$B$19-Capital!$B$20-(Capital!$B$25+Capital!$B$26+Capital!$B$28))/(Capital!$B$18+Capital!$D$27))&lt;Capital!$C$25,(((Bull!B32*Bull!B36/(1+$A22)^Bull!B37+Bull!C32*Bull!C36/(1+$A22)^Bull!C37+Bull!D32*Bull!D36/(1+$A22)^Bull!D37+Bull!E32*Bull!E36/(1+$A22)^Bull!E37+Bull!F32*Bull!F36/(1+$A22)^Bull!F37+Bull!G32*Bull!G36/(1+$A22)^Bull!G37+Bull!H32*Bull!H36/(1+$A22)^Bull!H37+Bull!I32*Bull!I36/(1+$A22)^Bull!I37+Bull!J32*Bull!J36/(1+$A22)^Bull!J37+Bull!K32*Bull!K36/(1+$A22)^Bull!K37+Bull!$K$34*B$18/(1+$A22)^Bull!$K$37)+Capital!$B$32-Capital!$B$19-Capital!$B$20-(Capital!$B$25+Capital!$B$26+Capital!$B$28))/(Capital!$B$18+Capital!$D$27)),(IF((((Bull!B32*Bull!B36/(1+$A22)^Bull!B37+Bull!C32*Bull!C36/(1+$A22)^Bull!C37+Bull!D32*Bull!D36/(1+$A22)^Bull!D37+Bull!E32*Bull!E36/(1+$A22)^Bull!E37+Bull!F32*Bull!F36/(1+$A22)^Bull!F37+Bull!G32*Bull!G36/(1+$A22)^Bull!G37+Bull!H32*Bull!H36/(1+$A22)^Bull!H37+Bull!I32*Bull!I36/(1+$A22)^Bull!I37+Bull!J32*Bull!J36/(1+$A22)^Bull!J37+Bull!K32*Bull!K36/(1+$A22)^Bull!K37+Bull!$K$34*B$18/(1+$A22)^Bull!$K$37)+Capital!$B$32-Capital!$B$19-Capital!$B$20-(Capital!$B$26+Capital!$B$28))/(Capital!$B$18+Capital!$D$27+Capital!$D$25))&lt;Capital!$C$26,(((Bull!B32*Bull!B36/(1+$A22)^Bull!B37+Bull!C32*Bull!C36/(1+$A22)^Bull!C37+Bull!D32*Bull!D36/(1+$A22)^Bull!D37+Bull!E32*Bull!E36/(1+$A22)^Bull!E37+Bull!F32*Bull!F36/(1+$A22)^Bull!F37+Bull!G32*Bull!G36/(1+$A22)^Bull!G37+Bull!H32*Bull!H36/(1+$A22)^Bull!H37+Bull!I32*Bull!I36/(1+$A22)^Bull!I37+Bull!J32*Bull!J36/(1+$A22)^Bull!J37+Bull!K32*Bull!K36/(1+$A22)^Bull!K37+Bull!$K$34*B$18/(1+$A22)^Bull!$K$37)+Capital!$B$32-Capital!$B$19-Capital!$B$20-(Capital!$B$26+Capital!$B$28))/(Capital!$B$18+Capital!$D$27+Capital!$D$25)),(IF((((Bull!B32*Bull!B36/(1+$A22)^Bull!B37+Bull!C32*Bull!C36/(1+$A22)^Bull!C37+Bull!D32*Bull!D36/(1+$A22)^Bull!D37+Bull!E32*Bull!E36/(1+$A22)^Bull!E37+Bull!F32*Bull!F36/(1+$A22)^Bull!F37+Bull!G32*Bull!G36/(1+$A22)^Bull!G37+Bull!H32*Bull!H36/(1+$A22)^Bull!H37+Bull!I32*Bull!I36/(1+$A22)^Bull!I37+Bull!J32*Bull!J36/(1+$A22)^Bull!J37+Bull!K32*Bull!K36/(1+$A22)^Bull!K37+Bull!$K$34*B$18/(1+$A22)^Bull!$K$37)+Capital!$B$32-Capital!$B$19-Capital!$B$20-(Capital!$B$28))/(Capital!$B$18+Capital!$D$27+Capital!$D$25+Capital!$D$26))&lt;Capital!$C$28,(((Bull!B32*Bull!B36/(1+$A22)^Bull!B37+Bull!C32*Bull!C36/(1+$A22)^Bull!C37+Bull!D32*Bull!D36/(1+$A22)^Bull!D37+Bull!E32*Bull!E36/(1+$A22)^Bull!E37+Bull!F32*Bull!F36/(1+$A22)^Bull!F37+Bull!G32*Bull!G36/(1+$A22)^Bull!G37+Bull!H32*Bull!H36/(1+$A22)^Bull!H37+Bull!I32*Bull!I36/(1+$A22)^Bull!I37+Bull!J32*Bull!J36/(1+$A22)^Bull!J37+Bull!K32*Bull!K36/(1+$A22)^Bull!K37+Bull!$K$34*B$18/(1+$A22)^Bull!$K$37)+Capital!$B$32-Capital!$B$19-Capital!$B$20-(Capital!$B$28))/(Capital!$B$18+Capital!$D$27+Capital!$D$25+Capital!$D$26)),(((Bull!B32*Bull!B36/(1+$A22)^Bull!B37+Bull!C32*Bull!C36/(1+$A22)^Bull!C37+Bull!D32*Bull!D36/(1+$A22)^Bull!D37+Bull!E32*Bull!E36/(1+$A22)^Bull!E37+Bull!F32*Bull!F36/(1+$A22)^Bull!F37+Bull!G32*Bull!G36/(1+$A22)^Bull!G37+Bull!H32*Bull!H36/(1+$A22)^Bull!H37+Bull!I32*Bull!I36/(1+$A22)^Bull!I37+Bull!J32*Bull!J36/(1+$A22)^Bull!J37+Bull!K32*Bull!K36/(1+$A22)^Bull!K37+Bull!$K$34*B$18/(1+$A22)^Bull!$K$37)+Capital!$B$32-Capital!$B$19-Capital!$B$20-(0))/(Capital!$B$18+Capital!$D$27+Capital!$D$25+Capital!$D$26+Capital!$D$28)))))))))</f>
        <v>396.29627478048991</v>
      </c>
      <c r="C22" s="3">
        <f>IF((((Bull!B32*Bull!B36/(1+$A22)^Bull!B37+Bull!C32*Bull!C36/(1+$A22)^Bull!C37+Bull!D32*Bull!D36/(1+$A22)^Bull!D37+Bull!E32*Bull!E36/(1+$A22)^Bull!E37+Bull!F32*Bull!F36/(1+$A22)^Bull!F37+Bull!G32*Bull!G36/(1+$A22)^Bull!G37+Bull!H32*Bull!H36/(1+$A22)^Bull!H37+Bull!I32*Bull!I36/(1+$A22)^Bull!I37+Bull!J32*Bull!J36/(1+$A22)^Bull!J37+Bull!K32*Bull!K36/(1+$A22)^Bull!K37+Bull!$K$34*C$18/(1+$A22)^Bull!$K$37)+Capital!$B$32-Capital!$B$19-Capital!$B$20-(Capital!$B$27+Capital!$B$25+Capital!$B$26+Capital!$B$28))/(Capital!$B$18+0))&lt;Capital!$C$27,(((Bull!B32*Bull!B36/(1+$A22)^Bull!B37+Bull!C32*Bull!C36/(1+$A22)^Bull!C37+Bull!D32*Bull!D36/(1+$A22)^Bull!D37+Bull!E32*Bull!E36/(1+$A22)^Bull!E37+Bull!F32*Bull!F36/(1+$A22)^Bull!F37+Bull!G32*Bull!G36/(1+$A22)^Bull!G37+Bull!H32*Bull!H36/(1+$A22)^Bull!H37+Bull!I32*Bull!I36/(1+$A22)^Bull!I37+Bull!J32*Bull!J36/(1+$A22)^Bull!J37+Bull!K32*Bull!K36/(1+$A22)^Bull!K37+Bull!$K$34*C$18/(1+$A22)^Bull!$K$37)+Capital!$B$32-Capital!$B$19-Capital!$B$20-(Capital!$B$27+Capital!$B$25+Capital!$B$26+Capital!$B$28))/(Capital!$B$18+0)),(IF((((Bull!B32*Bull!B36/(1+$A22)^Bull!B37+Bull!C32*Bull!C36/(1+$A22)^Bull!C37+Bull!D32*Bull!D36/(1+$A22)^Bull!D37+Bull!E32*Bull!E36/(1+$A22)^Bull!E37+Bull!F32*Bull!F36/(1+$A22)^Bull!F37+Bull!G32*Bull!G36/(1+$A22)^Bull!G37+Bull!H32*Bull!H36/(1+$A22)^Bull!H37+Bull!I32*Bull!I36/(1+$A22)^Bull!I37+Bull!J32*Bull!J36/(1+$A22)^Bull!J37+Bull!K32*Bull!K36/(1+$A22)^Bull!K37+Bull!$K$34*C$18/(1+$A22)^Bull!$K$37)+Capital!$B$32-Capital!$B$19-Capital!$B$20-(Capital!$B$25+Capital!$B$26+Capital!$B$28))/(Capital!$B$18+Capital!$D$27))&lt;Capital!$C$25,(((Bull!B32*Bull!B36/(1+$A22)^Bull!B37+Bull!C32*Bull!C36/(1+$A22)^Bull!C37+Bull!D32*Bull!D36/(1+$A22)^Bull!D37+Bull!E32*Bull!E36/(1+$A22)^Bull!E37+Bull!F32*Bull!F36/(1+$A22)^Bull!F37+Bull!G32*Bull!G36/(1+$A22)^Bull!G37+Bull!H32*Bull!H36/(1+$A22)^Bull!H37+Bull!I32*Bull!I36/(1+$A22)^Bull!I37+Bull!J32*Bull!J36/(1+$A22)^Bull!J37+Bull!K32*Bull!K36/(1+$A22)^Bull!K37+Bull!$K$34*C$18/(1+$A22)^Bull!$K$37)+Capital!$B$32-Capital!$B$19-Capital!$B$20-(Capital!$B$25+Capital!$B$26+Capital!$B$28))/(Capital!$B$18+Capital!$D$27)),(IF((((Bull!B32*Bull!B36/(1+$A22)^Bull!B37+Bull!C32*Bull!C36/(1+$A22)^Bull!C37+Bull!D32*Bull!D36/(1+$A22)^Bull!D37+Bull!E32*Bull!E36/(1+$A22)^Bull!E37+Bull!F32*Bull!F36/(1+$A22)^Bull!F37+Bull!G32*Bull!G36/(1+$A22)^Bull!G37+Bull!H32*Bull!H36/(1+$A22)^Bull!H37+Bull!I32*Bull!I36/(1+$A22)^Bull!I37+Bull!J32*Bull!J36/(1+$A22)^Bull!J37+Bull!K32*Bull!K36/(1+$A22)^Bull!K37+Bull!$K$34*C$18/(1+$A22)^Bull!$K$37)+Capital!$B$32-Capital!$B$19-Capital!$B$20-(Capital!$B$26+Capital!$B$28))/(Capital!$B$18+Capital!$D$27+Capital!$D$25))&lt;Capital!$C$26,(((Bull!B32*Bull!B36/(1+$A22)^Bull!B37+Bull!C32*Bull!C36/(1+$A22)^Bull!C37+Bull!D32*Bull!D36/(1+$A22)^Bull!D37+Bull!E32*Bull!E36/(1+$A22)^Bull!E37+Bull!F32*Bull!F36/(1+$A22)^Bull!F37+Bull!G32*Bull!G36/(1+$A22)^Bull!G37+Bull!H32*Bull!H36/(1+$A22)^Bull!H37+Bull!I32*Bull!I36/(1+$A22)^Bull!I37+Bull!J32*Bull!J36/(1+$A22)^Bull!J37+Bull!K32*Bull!K36/(1+$A22)^Bull!K37+Bull!$K$34*C$18/(1+$A22)^Bull!$K$37)+Capital!$B$32-Capital!$B$19-Capital!$B$20-(Capital!$B$26+Capital!$B$28))/(Capital!$B$18+Capital!$D$27+Capital!$D$25)),(IF((((Bull!B32*Bull!B36/(1+$A22)^Bull!B37+Bull!C32*Bull!C36/(1+$A22)^Bull!C37+Bull!D32*Bull!D36/(1+$A22)^Bull!D37+Bull!E32*Bull!E36/(1+$A22)^Bull!E37+Bull!F32*Bull!F36/(1+$A22)^Bull!F37+Bull!G32*Bull!G36/(1+$A22)^Bull!G37+Bull!H32*Bull!H36/(1+$A22)^Bull!H37+Bull!I32*Bull!I36/(1+$A22)^Bull!I37+Bull!J32*Bull!J36/(1+$A22)^Bull!J37+Bull!K32*Bull!K36/(1+$A22)^Bull!K37+Bull!$K$34*C$18/(1+$A22)^Bull!$K$37)+Capital!$B$32-Capital!$B$19-Capital!$B$20-(Capital!$B$28))/(Capital!$B$18+Capital!$D$27+Capital!$D$25+Capital!$D$26))&lt;Capital!$C$28,(((Bull!B32*Bull!B36/(1+$A22)^Bull!B37+Bull!C32*Bull!C36/(1+$A22)^Bull!C37+Bull!D32*Bull!D36/(1+$A22)^Bull!D37+Bull!E32*Bull!E36/(1+$A22)^Bull!E37+Bull!F32*Bull!F36/(1+$A22)^Bull!F37+Bull!G32*Bull!G36/(1+$A22)^Bull!G37+Bull!H32*Bull!H36/(1+$A22)^Bull!H37+Bull!I32*Bull!I36/(1+$A22)^Bull!I37+Bull!J32*Bull!J36/(1+$A22)^Bull!J37+Bull!K32*Bull!K36/(1+$A22)^Bull!K37+Bull!$K$34*C$18/(1+$A22)^Bull!$K$37)+Capital!$B$32-Capital!$B$19-Capital!$B$20-(Capital!$B$28))/(Capital!$B$18+Capital!$D$27+Capital!$D$25+Capital!$D$26)),(((Bull!B32*Bull!B36/(1+$A22)^Bull!B37+Bull!C32*Bull!C36/(1+$A22)^Bull!C37+Bull!D32*Bull!D36/(1+$A22)^Bull!D37+Bull!E32*Bull!E36/(1+$A22)^Bull!E37+Bull!F32*Bull!F36/(1+$A22)^Bull!F37+Bull!G32*Bull!G36/(1+$A22)^Bull!G37+Bull!H32*Bull!H36/(1+$A22)^Bull!H37+Bull!I32*Bull!I36/(1+$A22)^Bull!I37+Bull!J32*Bull!J36/(1+$A22)^Bull!J37+Bull!K32*Bull!K36/(1+$A22)^Bull!K37+Bull!$K$34*C$18/(1+$A22)^Bull!$K$37)+Capital!$B$32-Capital!$B$19-Capital!$B$20-(0))/(Capital!$B$18+Capital!$D$27+Capital!$D$25+Capital!$D$26+Capital!$D$28)))))))))</f>
        <v>431.13385652873814</v>
      </c>
      <c r="D22" s="3">
        <f>IF((((Bull!B32*Bull!B36/(1+$A22)^Bull!B37+Bull!C32*Bull!C36/(1+$A22)^Bull!C37+Bull!D32*Bull!D36/(1+$A22)^Bull!D37+Bull!E32*Bull!E36/(1+$A22)^Bull!E37+Bull!F32*Bull!F36/(1+$A22)^Bull!F37+Bull!G32*Bull!G36/(1+$A22)^Bull!G37+Bull!H32*Bull!H36/(1+$A22)^Bull!H37+Bull!I32*Bull!I36/(1+$A22)^Bull!I37+Bull!J32*Bull!J36/(1+$A22)^Bull!J37+Bull!K32*Bull!K36/(1+$A22)^Bull!K37+Bull!$K$34*D$18/(1+$A22)^Bull!$K$37)+Capital!$B$32-Capital!$B$19-Capital!$B$20-(Capital!$B$27+Capital!$B$25+Capital!$B$26+Capital!$B$28))/(Capital!$B$18+0))&lt;Capital!$C$27,(((Bull!B32*Bull!B36/(1+$A22)^Bull!B37+Bull!C32*Bull!C36/(1+$A22)^Bull!C37+Bull!D32*Bull!D36/(1+$A22)^Bull!D37+Bull!E32*Bull!E36/(1+$A22)^Bull!E37+Bull!F32*Bull!F36/(1+$A22)^Bull!F37+Bull!G32*Bull!G36/(1+$A22)^Bull!G37+Bull!H32*Bull!H36/(1+$A22)^Bull!H37+Bull!I32*Bull!I36/(1+$A22)^Bull!I37+Bull!J32*Bull!J36/(1+$A22)^Bull!J37+Bull!K32*Bull!K36/(1+$A22)^Bull!K37+Bull!$K$34*D$18/(1+$A22)^Bull!$K$37)+Capital!$B$32-Capital!$B$19-Capital!$B$20-(Capital!$B$27+Capital!$B$25+Capital!$B$26+Capital!$B$28))/(Capital!$B$18+0)),(IF((((Bull!B32*Bull!B36/(1+$A22)^Bull!B37+Bull!C32*Bull!C36/(1+$A22)^Bull!C37+Bull!D32*Bull!D36/(1+$A22)^Bull!D37+Bull!E32*Bull!E36/(1+$A22)^Bull!E37+Bull!F32*Bull!F36/(1+$A22)^Bull!F37+Bull!G32*Bull!G36/(1+$A22)^Bull!G37+Bull!H32*Bull!H36/(1+$A22)^Bull!H37+Bull!I32*Bull!I36/(1+$A22)^Bull!I37+Bull!J32*Bull!J36/(1+$A22)^Bull!J37+Bull!K32*Bull!K36/(1+$A22)^Bull!K37+Bull!$K$34*D$18/(1+$A22)^Bull!$K$37)+Capital!$B$32-Capital!$B$19-Capital!$B$20-(Capital!$B$25+Capital!$B$26+Capital!$B$28))/(Capital!$B$18+Capital!$D$27))&lt;Capital!$C$25,(((Bull!B32*Bull!B36/(1+$A22)^Bull!B37+Bull!C32*Bull!C36/(1+$A22)^Bull!C37+Bull!D32*Bull!D36/(1+$A22)^Bull!D37+Bull!E32*Bull!E36/(1+$A22)^Bull!E37+Bull!F32*Bull!F36/(1+$A22)^Bull!F37+Bull!G32*Bull!G36/(1+$A22)^Bull!G37+Bull!H32*Bull!H36/(1+$A22)^Bull!H37+Bull!I32*Bull!I36/(1+$A22)^Bull!I37+Bull!J32*Bull!J36/(1+$A22)^Bull!J37+Bull!K32*Bull!K36/(1+$A22)^Bull!K37+Bull!$K$34*D$18/(1+$A22)^Bull!$K$37)+Capital!$B$32-Capital!$B$19-Capital!$B$20-(Capital!$B$25+Capital!$B$26+Capital!$B$28))/(Capital!$B$18+Capital!$D$27)),(IF((((Bull!B32*Bull!B36/(1+$A22)^Bull!B37+Bull!C32*Bull!C36/(1+$A22)^Bull!C37+Bull!D32*Bull!D36/(1+$A22)^Bull!D37+Bull!E32*Bull!E36/(1+$A22)^Bull!E37+Bull!F32*Bull!F36/(1+$A22)^Bull!F37+Bull!G32*Bull!G36/(1+$A22)^Bull!G37+Bull!H32*Bull!H36/(1+$A22)^Bull!H37+Bull!I32*Bull!I36/(1+$A22)^Bull!I37+Bull!J32*Bull!J36/(1+$A22)^Bull!J37+Bull!K32*Bull!K36/(1+$A22)^Bull!K37+Bull!$K$34*D$18/(1+$A22)^Bull!$K$37)+Capital!$B$32-Capital!$B$19-Capital!$B$20-(Capital!$B$26+Capital!$B$28))/(Capital!$B$18+Capital!$D$27+Capital!$D$25))&lt;Capital!$C$26,(((Bull!B32*Bull!B36/(1+$A22)^Bull!B37+Bull!C32*Bull!C36/(1+$A22)^Bull!C37+Bull!D32*Bull!D36/(1+$A22)^Bull!D37+Bull!E32*Bull!E36/(1+$A22)^Bull!E37+Bull!F32*Bull!F36/(1+$A22)^Bull!F37+Bull!G32*Bull!G36/(1+$A22)^Bull!G37+Bull!H32*Bull!H36/(1+$A22)^Bull!H37+Bull!I32*Bull!I36/(1+$A22)^Bull!I37+Bull!J32*Bull!J36/(1+$A22)^Bull!J37+Bull!K32*Bull!K36/(1+$A22)^Bull!K37+Bull!$K$34*D$18/(1+$A22)^Bull!$K$37)+Capital!$B$32-Capital!$B$19-Capital!$B$20-(Capital!$B$26+Capital!$B$28))/(Capital!$B$18+Capital!$D$27+Capital!$D$25)),(IF((((Bull!B32*Bull!B36/(1+$A22)^Bull!B37+Bull!C32*Bull!C36/(1+$A22)^Bull!C37+Bull!D32*Bull!D36/(1+$A22)^Bull!D37+Bull!E32*Bull!E36/(1+$A22)^Bull!E37+Bull!F32*Bull!F36/(1+$A22)^Bull!F37+Bull!G32*Bull!G36/(1+$A22)^Bull!G37+Bull!H32*Bull!H36/(1+$A22)^Bull!H37+Bull!I32*Bull!I36/(1+$A22)^Bull!I37+Bull!J32*Bull!J36/(1+$A22)^Bull!J37+Bull!K32*Bull!K36/(1+$A22)^Bull!K37+Bull!$K$34*D$18/(1+$A22)^Bull!$K$37)+Capital!$B$32-Capital!$B$19-Capital!$B$20-(Capital!$B$28))/(Capital!$B$18+Capital!$D$27+Capital!$D$25+Capital!$D$26))&lt;Capital!$C$28,(((Bull!B32*Bull!B36/(1+$A22)^Bull!B37+Bull!C32*Bull!C36/(1+$A22)^Bull!C37+Bull!D32*Bull!D36/(1+$A22)^Bull!D37+Bull!E32*Bull!E36/(1+$A22)^Bull!E37+Bull!F32*Bull!F36/(1+$A22)^Bull!F37+Bull!G32*Bull!G36/(1+$A22)^Bull!G37+Bull!H32*Bull!H36/(1+$A22)^Bull!H37+Bull!I32*Bull!I36/(1+$A22)^Bull!I37+Bull!J32*Bull!J36/(1+$A22)^Bull!J37+Bull!K32*Bull!K36/(1+$A22)^Bull!K37+Bull!$K$34*D$18/(1+$A22)^Bull!$K$37)+Capital!$B$32-Capital!$B$19-Capital!$B$20-(Capital!$B$28))/(Capital!$B$18+Capital!$D$27+Capital!$D$25+Capital!$D$26)),(((Bull!B32*Bull!B36/(1+$A22)^Bull!B37+Bull!C32*Bull!C36/(1+$A22)^Bull!C37+Bull!D32*Bull!D36/(1+$A22)^Bull!D37+Bull!E32*Bull!E36/(1+$A22)^Bull!E37+Bull!F32*Bull!F36/(1+$A22)^Bull!F37+Bull!G32*Bull!G36/(1+$A22)^Bull!G37+Bull!H32*Bull!H36/(1+$A22)^Bull!H37+Bull!I32*Bull!I36/(1+$A22)^Bull!I37+Bull!J32*Bull!J36/(1+$A22)^Bull!J37+Bull!K32*Bull!K36/(1+$A22)^Bull!K37+Bull!$K$34*D$18/(1+$A22)^Bull!$K$37)+Capital!$B$32-Capital!$B$19-Capital!$B$20-(0))/(Capital!$B$18+Capital!$D$27+Capital!$D$25+Capital!$D$26+Capital!$D$28)))))))))</f>
        <v>465.97143827698631</v>
      </c>
      <c r="E22" s="3">
        <f>IF((((Bull!B32*Bull!B36/(1+$A22)^Bull!B37+Bull!C32*Bull!C36/(1+$A22)^Bull!C37+Bull!D32*Bull!D36/(1+$A22)^Bull!D37+Bull!E32*Bull!E36/(1+$A22)^Bull!E37+Bull!F32*Bull!F36/(1+$A22)^Bull!F37+Bull!G32*Bull!G36/(1+$A22)^Bull!G37+Bull!H32*Bull!H36/(1+$A22)^Bull!H37+Bull!I32*Bull!I36/(1+$A22)^Bull!I37+Bull!J32*Bull!J36/(1+$A22)^Bull!J37+Bull!K32*Bull!K36/(1+$A22)^Bull!K37+Bull!$K$34*E$18/(1+$A22)^Bull!$K$37)+Capital!$B$32-Capital!$B$19-Capital!$B$20-(Capital!$B$27+Capital!$B$25+Capital!$B$26+Capital!$B$28))/(Capital!$B$18+0))&lt;Capital!$C$27,(((Bull!B32*Bull!B36/(1+$A22)^Bull!B37+Bull!C32*Bull!C36/(1+$A22)^Bull!C37+Bull!D32*Bull!D36/(1+$A22)^Bull!D37+Bull!E32*Bull!E36/(1+$A22)^Bull!E37+Bull!F32*Bull!F36/(1+$A22)^Bull!F37+Bull!G32*Bull!G36/(1+$A22)^Bull!G37+Bull!H32*Bull!H36/(1+$A22)^Bull!H37+Bull!I32*Bull!I36/(1+$A22)^Bull!I37+Bull!J32*Bull!J36/(1+$A22)^Bull!J37+Bull!K32*Bull!K36/(1+$A22)^Bull!K37+Bull!$K$34*E$18/(1+$A22)^Bull!$K$37)+Capital!$B$32-Capital!$B$19-Capital!$B$20-(Capital!$B$27+Capital!$B$25+Capital!$B$26+Capital!$B$28))/(Capital!$B$18+0)),(IF((((Bull!B32*Bull!B36/(1+$A22)^Bull!B37+Bull!C32*Bull!C36/(1+$A22)^Bull!C37+Bull!D32*Bull!D36/(1+$A22)^Bull!D37+Bull!E32*Bull!E36/(1+$A22)^Bull!E37+Bull!F32*Bull!F36/(1+$A22)^Bull!F37+Bull!G32*Bull!G36/(1+$A22)^Bull!G37+Bull!H32*Bull!H36/(1+$A22)^Bull!H37+Bull!I32*Bull!I36/(1+$A22)^Bull!I37+Bull!J32*Bull!J36/(1+$A22)^Bull!J37+Bull!K32*Bull!K36/(1+$A22)^Bull!K37+Bull!$K$34*E$18/(1+$A22)^Bull!$K$37)+Capital!$B$32-Capital!$B$19-Capital!$B$20-(Capital!$B$25+Capital!$B$26+Capital!$B$28))/(Capital!$B$18+Capital!$D$27))&lt;Capital!$C$25,(((Bull!B32*Bull!B36/(1+$A22)^Bull!B37+Bull!C32*Bull!C36/(1+$A22)^Bull!C37+Bull!D32*Bull!D36/(1+$A22)^Bull!D37+Bull!E32*Bull!E36/(1+$A22)^Bull!E37+Bull!F32*Bull!F36/(1+$A22)^Bull!F37+Bull!G32*Bull!G36/(1+$A22)^Bull!G37+Bull!H32*Bull!H36/(1+$A22)^Bull!H37+Bull!I32*Bull!I36/(1+$A22)^Bull!I37+Bull!J32*Bull!J36/(1+$A22)^Bull!J37+Bull!K32*Bull!K36/(1+$A22)^Bull!K37+Bull!$K$34*E$18/(1+$A22)^Bull!$K$37)+Capital!$B$32-Capital!$B$19-Capital!$B$20-(Capital!$B$25+Capital!$B$26+Capital!$B$28))/(Capital!$B$18+Capital!$D$27)),(IF((((Bull!B32*Bull!B36/(1+$A22)^Bull!B37+Bull!C32*Bull!C36/(1+$A22)^Bull!C37+Bull!D32*Bull!D36/(1+$A22)^Bull!D37+Bull!E32*Bull!E36/(1+$A22)^Bull!E37+Bull!F32*Bull!F36/(1+$A22)^Bull!F37+Bull!G32*Bull!G36/(1+$A22)^Bull!G37+Bull!H32*Bull!H36/(1+$A22)^Bull!H37+Bull!I32*Bull!I36/(1+$A22)^Bull!I37+Bull!J32*Bull!J36/(1+$A22)^Bull!J37+Bull!K32*Bull!K36/(1+$A22)^Bull!K37+Bull!$K$34*E$18/(1+$A22)^Bull!$K$37)+Capital!$B$32-Capital!$B$19-Capital!$B$20-(Capital!$B$26+Capital!$B$28))/(Capital!$B$18+Capital!$D$27+Capital!$D$25))&lt;Capital!$C$26,(((Bull!B32*Bull!B36/(1+$A22)^Bull!B37+Bull!C32*Bull!C36/(1+$A22)^Bull!C37+Bull!D32*Bull!D36/(1+$A22)^Bull!D37+Bull!E32*Bull!E36/(1+$A22)^Bull!E37+Bull!F32*Bull!F36/(1+$A22)^Bull!F37+Bull!G32*Bull!G36/(1+$A22)^Bull!G37+Bull!H32*Bull!H36/(1+$A22)^Bull!H37+Bull!I32*Bull!I36/(1+$A22)^Bull!I37+Bull!J32*Bull!J36/(1+$A22)^Bull!J37+Bull!K32*Bull!K36/(1+$A22)^Bull!K37+Bull!$K$34*E$18/(1+$A22)^Bull!$K$37)+Capital!$B$32-Capital!$B$19-Capital!$B$20-(Capital!$B$26+Capital!$B$28))/(Capital!$B$18+Capital!$D$27+Capital!$D$25)),(IF((((Bull!B32*Bull!B36/(1+$A22)^Bull!B37+Bull!C32*Bull!C36/(1+$A22)^Bull!C37+Bull!D32*Bull!D36/(1+$A22)^Bull!D37+Bull!E32*Bull!E36/(1+$A22)^Bull!E37+Bull!F32*Bull!F36/(1+$A22)^Bull!F37+Bull!G32*Bull!G36/(1+$A22)^Bull!G37+Bull!H32*Bull!H36/(1+$A22)^Bull!H37+Bull!I32*Bull!I36/(1+$A22)^Bull!I37+Bull!J32*Bull!J36/(1+$A22)^Bull!J37+Bull!K32*Bull!K36/(1+$A22)^Bull!K37+Bull!$K$34*E$18/(1+$A22)^Bull!$K$37)+Capital!$B$32-Capital!$B$19-Capital!$B$20-(Capital!$B$28))/(Capital!$B$18+Capital!$D$27+Capital!$D$25+Capital!$D$26))&lt;Capital!$C$28,(((Bull!B32*Bull!B36/(1+$A22)^Bull!B37+Bull!C32*Bull!C36/(1+$A22)^Bull!C37+Bull!D32*Bull!D36/(1+$A22)^Bull!D37+Bull!E32*Bull!E36/(1+$A22)^Bull!E37+Bull!F32*Bull!F36/(1+$A22)^Bull!F37+Bull!G32*Bull!G36/(1+$A22)^Bull!G37+Bull!H32*Bull!H36/(1+$A22)^Bull!H37+Bull!I32*Bull!I36/(1+$A22)^Bull!I37+Bull!J32*Bull!J36/(1+$A22)^Bull!J37+Bull!K32*Bull!K36/(1+$A22)^Bull!K37+Bull!$K$34*E$18/(1+$A22)^Bull!$K$37)+Capital!$B$32-Capital!$B$19-Capital!$B$20-(Capital!$B$28))/(Capital!$B$18+Capital!$D$27+Capital!$D$25+Capital!$D$26)),(((Bull!B32*Bull!B36/(1+$A22)^Bull!B37+Bull!C32*Bull!C36/(1+$A22)^Bull!C37+Bull!D32*Bull!D36/(1+$A22)^Bull!D37+Bull!E32*Bull!E36/(1+$A22)^Bull!E37+Bull!F32*Bull!F36/(1+$A22)^Bull!F37+Bull!G32*Bull!G36/(1+$A22)^Bull!G37+Bull!H32*Bull!H36/(1+$A22)^Bull!H37+Bull!I32*Bull!I36/(1+$A22)^Bull!I37+Bull!J32*Bull!J36/(1+$A22)^Bull!J37+Bull!K32*Bull!K36/(1+$A22)^Bull!K37+Bull!$K$34*E$18/(1+$A22)^Bull!$K$37)+Capital!$B$32-Capital!$B$19-Capital!$B$20-(0))/(Capital!$B$18+Capital!$D$27+Capital!$D$25+Capital!$D$26+Capital!$D$28)))))))))</f>
        <v>500.80902002523453</v>
      </c>
      <c r="F22" s="3">
        <f>IF((((Bull!B32*Bull!B36/(1+$A22)^Bull!B37+Bull!C32*Bull!C36/(1+$A22)^Bull!C37+Bull!D32*Bull!D36/(1+$A22)^Bull!D37+Bull!E32*Bull!E36/(1+$A22)^Bull!E37+Bull!F32*Bull!F36/(1+$A22)^Bull!F37+Bull!G32*Bull!G36/(1+$A22)^Bull!G37+Bull!H32*Bull!H36/(1+$A22)^Bull!H37+Bull!I32*Bull!I36/(1+$A22)^Bull!I37+Bull!J32*Bull!J36/(1+$A22)^Bull!J37+Bull!K32*Bull!K36/(1+$A22)^Bull!K37+Bull!$K$34*F$18/(1+$A22)^Bull!$K$37)+Capital!$B$32-Capital!$B$19-Capital!$B$20-(Capital!$B$27+Capital!$B$25+Capital!$B$26+Capital!$B$28))/(Capital!$B$18+0))&lt;Capital!$C$27,(((Bull!B32*Bull!B36/(1+$A22)^Bull!B37+Bull!C32*Bull!C36/(1+$A22)^Bull!C37+Bull!D32*Bull!D36/(1+$A22)^Bull!D37+Bull!E32*Bull!E36/(1+$A22)^Bull!E37+Bull!F32*Bull!F36/(1+$A22)^Bull!F37+Bull!G32*Bull!G36/(1+$A22)^Bull!G37+Bull!H32*Bull!H36/(1+$A22)^Bull!H37+Bull!I32*Bull!I36/(1+$A22)^Bull!I37+Bull!J32*Bull!J36/(1+$A22)^Bull!J37+Bull!K32*Bull!K36/(1+$A22)^Bull!K37+Bull!$K$34*F$18/(1+$A22)^Bull!$K$37)+Capital!$B$32-Capital!$B$19-Capital!$B$20-(Capital!$B$27+Capital!$B$25+Capital!$B$26+Capital!$B$28))/(Capital!$B$18+0)),(IF((((Bull!B32*Bull!B36/(1+$A22)^Bull!B37+Bull!C32*Bull!C36/(1+$A22)^Bull!C37+Bull!D32*Bull!D36/(1+$A22)^Bull!D37+Bull!E32*Bull!E36/(1+$A22)^Bull!E37+Bull!F32*Bull!F36/(1+$A22)^Bull!F37+Bull!G32*Bull!G36/(1+$A22)^Bull!G37+Bull!H32*Bull!H36/(1+$A22)^Bull!H37+Bull!I32*Bull!I36/(1+$A22)^Bull!I37+Bull!J32*Bull!J36/(1+$A22)^Bull!J37+Bull!K32*Bull!K36/(1+$A22)^Bull!K37+Bull!$K$34*F$18/(1+$A22)^Bull!$K$37)+Capital!$B$32-Capital!$B$19-Capital!$B$20-(Capital!$B$25+Capital!$B$26+Capital!$B$28))/(Capital!$B$18+Capital!$D$27))&lt;Capital!$C$25,(((Bull!B32*Bull!B36/(1+$A22)^Bull!B37+Bull!C32*Bull!C36/(1+$A22)^Bull!C37+Bull!D32*Bull!D36/(1+$A22)^Bull!D37+Bull!E32*Bull!E36/(1+$A22)^Bull!E37+Bull!F32*Bull!F36/(1+$A22)^Bull!F37+Bull!G32*Bull!G36/(1+$A22)^Bull!G37+Bull!H32*Bull!H36/(1+$A22)^Bull!H37+Bull!I32*Bull!I36/(1+$A22)^Bull!I37+Bull!J32*Bull!J36/(1+$A22)^Bull!J37+Bull!K32*Bull!K36/(1+$A22)^Bull!K37+Bull!$K$34*F$18/(1+$A22)^Bull!$K$37)+Capital!$B$32-Capital!$B$19-Capital!$B$20-(Capital!$B$25+Capital!$B$26+Capital!$B$28))/(Capital!$B$18+Capital!$D$27)),(IF((((Bull!B32*Bull!B36/(1+$A22)^Bull!B37+Bull!C32*Bull!C36/(1+$A22)^Bull!C37+Bull!D32*Bull!D36/(1+$A22)^Bull!D37+Bull!E32*Bull!E36/(1+$A22)^Bull!E37+Bull!F32*Bull!F36/(1+$A22)^Bull!F37+Bull!G32*Bull!G36/(1+$A22)^Bull!G37+Bull!H32*Bull!H36/(1+$A22)^Bull!H37+Bull!I32*Bull!I36/(1+$A22)^Bull!I37+Bull!J32*Bull!J36/(1+$A22)^Bull!J37+Bull!K32*Bull!K36/(1+$A22)^Bull!K37+Bull!$K$34*F$18/(1+$A22)^Bull!$K$37)+Capital!$B$32-Capital!$B$19-Capital!$B$20-(Capital!$B$26+Capital!$B$28))/(Capital!$B$18+Capital!$D$27+Capital!$D$25))&lt;Capital!$C$26,(((Bull!B32*Bull!B36/(1+$A22)^Bull!B37+Bull!C32*Bull!C36/(1+$A22)^Bull!C37+Bull!D32*Bull!D36/(1+$A22)^Bull!D37+Bull!E32*Bull!E36/(1+$A22)^Bull!E37+Bull!F32*Bull!F36/(1+$A22)^Bull!F37+Bull!G32*Bull!G36/(1+$A22)^Bull!G37+Bull!H32*Bull!H36/(1+$A22)^Bull!H37+Bull!I32*Bull!I36/(1+$A22)^Bull!I37+Bull!J32*Bull!J36/(1+$A22)^Bull!J37+Bull!K32*Bull!K36/(1+$A22)^Bull!K37+Bull!$K$34*F$18/(1+$A22)^Bull!$K$37)+Capital!$B$32-Capital!$B$19-Capital!$B$20-(Capital!$B$26+Capital!$B$28))/(Capital!$B$18+Capital!$D$27+Capital!$D$25)),(IF((((Bull!B32*Bull!B36/(1+$A22)^Bull!B37+Bull!C32*Bull!C36/(1+$A22)^Bull!C37+Bull!D32*Bull!D36/(1+$A22)^Bull!D37+Bull!E32*Bull!E36/(1+$A22)^Bull!E37+Bull!F32*Bull!F36/(1+$A22)^Bull!F37+Bull!G32*Bull!G36/(1+$A22)^Bull!G37+Bull!H32*Bull!H36/(1+$A22)^Bull!H37+Bull!I32*Bull!I36/(1+$A22)^Bull!I37+Bull!J32*Bull!J36/(1+$A22)^Bull!J37+Bull!K32*Bull!K36/(1+$A22)^Bull!K37+Bull!$K$34*F$18/(1+$A22)^Bull!$K$37)+Capital!$B$32-Capital!$B$19-Capital!$B$20-(Capital!$B$28))/(Capital!$B$18+Capital!$D$27+Capital!$D$25+Capital!$D$26))&lt;Capital!$C$28,(((Bull!B32*Bull!B36/(1+$A22)^Bull!B37+Bull!C32*Bull!C36/(1+$A22)^Bull!C37+Bull!D32*Bull!D36/(1+$A22)^Bull!D37+Bull!E32*Bull!E36/(1+$A22)^Bull!E37+Bull!F32*Bull!F36/(1+$A22)^Bull!F37+Bull!G32*Bull!G36/(1+$A22)^Bull!G37+Bull!H32*Bull!H36/(1+$A22)^Bull!H37+Bull!I32*Bull!I36/(1+$A22)^Bull!I37+Bull!J32*Bull!J36/(1+$A22)^Bull!J37+Bull!K32*Bull!K36/(1+$A22)^Bull!K37+Bull!$K$34*F$18/(1+$A22)^Bull!$K$37)+Capital!$B$32-Capital!$B$19-Capital!$B$20-(Capital!$B$28))/(Capital!$B$18+Capital!$D$27+Capital!$D$25+Capital!$D$26)),(((Bull!B32*Bull!B36/(1+$A22)^Bull!B37+Bull!C32*Bull!C36/(1+$A22)^Bull!C37+Bull!D32*Bull!D36/(1+$A22)^Bull!D37+Bull!E32*Bull!E36/(1+$A22)^Bull!E37+Bull!F32*Bull!F36/(1+$A22)^Bull!F37+Bull!G32*Bull!G36/(1+$A22)^Bull!G37+Bull!H32*Bull!H36/(1+$A22)^Bull!H37+Bull!I32*Bull!I36/(1+$A22)^Bull!I37+Bull!J32*Bull!J36/(1+$A22)^Bull!J37+Bull!K32*Bull!K36/(1+$A22)^Bull!K37+Bull!$K$34*F$18/(1+$A22)^Bull!$K$37)+Capital!$B$32-Capital!$B$19-Capital!$B$20-(0))/(Capital!$B$18+Capital!$D$27+Capital!$D$25+Capital!$D$26+Capital!$D$28)))))))))</f>
        <v>535.64660177348276</v>
      </c>
    </row>
    <row r="23" spans="1:11" ht="15.5" x14ac:dyDescent="0.35">
      <c r="A23" s="7">
        <v>0.15974180892202949</v>
      </c>
      <c r="B23" s="3">
        <f>IF((((Bull!B32*Bull!B36/(1+$A23)^Bull!B37+Bull!C32*Bull!C36/(1+$A23)^Bull!C37+Bull!D32*Bull!D36/(1+$A23)^Bull!D37+Bull!E32*Bull!E36/(1+$A23)^Bull!E37+Bull!F32*Bull!F36/(1+$A23)^Bull!F37+Bull!G32*Bull!G36/(1+$A23)^Bull!G37+Bull!H32*Bull!H36/(1+$A23)^Bull!H37+Bull!I32*Bull!I36/(1+$A23)^Bull!I37+Bull!J32*Bull!J36/(1+$A23)^Bull!J37+Bull!K32*Bull!K36/(1+$A23)^Bull!K37+Bull!$K$34*B$18/(1+$A23)^Bull!$K$37)+Capital!$B$32-Capital!$B$19-Capital!$B$20-(Capital!$B$27+Capital!$B$25+Capital!$B$26+Capital!$B$28))/(Capital!$B$18+0))&lt;Capital!$C$27,(((Bull!B32*Bull!B36/(1+$A23)^Bull!B37+Bull!C32*Bull!C36/(1+$A23)^Bull!C37+Bull!D32*Bull!D36/(1+$A23)^Bull!D37+Bull!E32*Bull!E36/(1+$A23)^Bull!E37+Bull!F32*Bull!F36/(1+$A23)^Bull!F37+Bull!G32*Bull!G36/(1+$A23)^Bull!G37+Bull!H32*Bull!H36/(1+$A23)^Bull!H37+Bull!I32*Bull!I36/(1+$A23)^Bull!I37+Bull!J32*Bull!J36/(1+$A23)^Bull!J37+Bull!K32*Bull!K36/(1+$A23)^Bull!K37+Bull!$K$34*B$18/(1+$A23)^Bull!$K$37)+Capital!$B$32-Capital!$B$19-Capital!$B$20-(Capital!$B$27+Capital!$B$25+Capital!$B$26+Capital!$B$28))/(Capital!$B$18+0)),(IF((((Bull!B32*Bull!B36/(1+$A23)^Bull!B37+Bull!C32*Bull!C36/(1+$A23)^Bull!C37+Bull!D32*Bull!D36/(1+$A23)^Bull!D37+Bull!E32*Bull!E36/(1+$A23)^Bull!E37+Bull!F32*Bull!F36/(1+$A23)^Bull!F37+Bull!G32*Bull!G36/(1+$A23)^Bull!G37+Bull!H32*Bull!H36/(1+$A23)^Bull!H37+Bull!I32*Bull!I36/(1+$A23)^Bull!I37+Bull!J32*Bull!J36/(1+$A23)^Bull!J37+Bull!K32*Bull!K36/(1+$A23)^Bull!K37+Bull!$K$34*B$18/(1+$A23)^Bull!$K$37)+Capital!$B$32-Capital!$B$19-Capital!$B$20-(Capital!$B$25+Capital!$B$26+Capital!$B$28))/(Capital!$B$18+Capital!$D$27))&lt;Capital!$C$25,(((Bull!B32*Bull!B36/(1+$A23)^Bull!B37+Bull!C32*Bull!C36/(1+$A23)^Bull!C37+Bull!D32*Bull!D36/(1+$A23)^Bull!D37+Bull!E32*Bull!E36/(1+$A23)^Bull!E37+Bull!F32*Bull!F36/(1+$A23)^Bull!F37+Bull!G32*Bull!G36/(1+$A23)^Bull!G37+Bull!H32*Bull!H36/(1+$A23)^Bull!H37+Bull!I32*Bull!I36/(1+$A23)^Bull!I37+Bull!J32*Bull!J36/(1+$A23)^Bull!J37+Bull!K32*Bull!K36/(1+$A23)^Bull!K37+Bull!$K$34*B$18/(1+$A23)^Bull!$K$37)+Capital!$B$32-Capital!$B$19-Capital!$B$20-(Capital!$B$25+Capital!$B$26+Capital!$B$28))/(Capital!$B$18+Capital!$D$27)),(IF((((Bull!B32*Bull!B36/(1+$A23)^Bull!B37+Bull!C32*Bull!C36/(1+$A23)^Bull!C37+Bull!D32*Bull!D36/(1+$A23)^Bull!D37+Bull!E32*Bull!E36/(1+$A23)^Bull!E37+Bull!F32*Bull!F36/(1+$A23)^Bull!F37+Bull!G32*Bull!G36/(1+$A23)^Bull!G37+Bull!H32*Bull!H36/(1+$A23)^Bull!H37+Bull!I32*Bull!I36/(1+$A23)^Bull!I37+Bull!J32*Bull!J36/(1+$A23)^Bull!J37+Bull!K32*Bull!K36/(1+$A23)^Bull!K37+Bull!$K$34*B$18/(1+$A23)^Bull!$K$37)+Capital!$B$32-Capital!$B$19-Capital!$B$20-(Capital!$B$26+Capital!$B$28))/(Capital!$B$18+Capital!$D$27+Capital!$D$25))&lt;Capital!$C$26,(((Bull!B32*Bull!B36/(1+$A23)^Bull!B37+Bull!C32*Bull!C36/(1+$A23)^Bull!C37+Bull!D32*Bull!D36/(1+$A23)^Bull!D37+Bull!E32*Bull!E36/(1+$A23)^Bull!E37+Bull!F32*Bull!F36/(1+$A23)^Bull!F37+Bull!G32*Bull!G36/(1+$A23)^Bull!G37+Bull!H32*Bull!H36/(1+$A23)^Bull!H37+Bull!I32*Bull!I36/(1+$A23)^Bull!I37+Bull!J32*Bull!J36/(1+$A23)^Bull!J37+Bull!K32*Bull!K36/(1+$A23)^Bull!K37+Bull!$K$34*B$18/(1+$A23)^Bull!$K$37)+Capital!$B$32-Capital!$B$19-Capital!$B$20-(Capital!$B$26+Capital!$B$28))/(Capital!$B$18+Capital!$D$27+Capital!$D$25)),(IF((((Bull!B32*Bull!B36/(1+$A23)^Bull!B37+Bull!C32*Bull!C36/(1+$A23)^Bull!C37+Bull!D32*Bull!D36/(1+$A23)^Bull!D37+Bull!E32*Bull!E36/(1+$A23)^Bull!E37+Bull!F32*Bull!F36/(1+$A23)^Bull!F37+Bull!G32*Bull!G36/(1+$A23)^Bull!G37+Bull!H32*Bull!H36/(1+$A23)^Bull!H37+Bull!I32*Bull!I36/(1+$A23)^Bull!I37+Bull!J32*Bull!J36/(1+$A23)^Bull!J37+Bull!K32*Bull!K36/(1+$A23)^Bull!K37+Bull!$K$34*B$18/(1+$A23)^Bull!$K$37)+Capital!$B$32-Capital!$B$19-Capital!$B$20-(Capital!$B$28))/(Capital!$B$18+Capital!$D$27+Capital!$D$25+Capital!$D$26))&lt;Capital!$C$28,(((Bull!B32*Bull!B36/(1+$A23)^Bull!B37+Bull!C32*Bull!C36/(1+$A23)^Bull!C37+Bull!D32*Bull!D36/(1+$A23)^Bull!D37+Bull!E32*Bull!E36/(1+$A23)^Bull!E37+Bull!F32*Bull!F36/(1+$A23)^Bull!F37+Bull!G32*Bull!G36/(1+$A23)^Bull!G37+Bull!H32*Bull!H36/(1+$A23)^Bull!H37+Bull!I32*Bull!I36/(1+$A23)^Bull!I37+Bull!J32*Bull!J36/(1+$A23)^Bull!J37+Bull!K32*Bull!K36/(1+$A23)^Bull!K37+Bull!$K$34*B$18/(1+$A23)^Bull!$K$37)+Capital!$B$32-Capital!$B$19-Capital!$B$20-(Capital!$B$28))/(Capital!$B$18+Capital!$D$27+Capital!$D$25+Capital!$D$26)),(((Bull!B32*Bull!B36/(1+$A23)^Bull!B37+Bull!C32*Bull!C36/(1+$A23)^Bull!C37+Bull!D32*Bull!D36/(1+$A23)^Bull!D37+Bull!E32*Bull!E36/(1+$A23)^Bull!E37+Bull!F32*Bull!F36/(1+$A23)^Bull!F37+Bull!G32*Bull!G36/(1+$A23)^Bull!G37+Bull!H32*Bull!H36/(1+$A23)^Bull!H37+Bull!I32*Bull!I36/(1+$A23)^Bull!I37+Bull!J32*Bull!J36/(1+$A23)^Bull!J37+Bull!K32*Bull!K36/(1+$A23)^Bull!K37+Bull!$K$34*B$18/(1+$A23)^Bull!$K$37)+Capital!$B$32-Capital!$B$19-Capital!$B$20-(0))/(Capital!$B$18+Capital!$D$27+Capital!$D$25+Capital!$D$26+Capital!$D$28)))))))))</f>
        <v>372.09577723906318</v>
      </c>
      <c r="C23" s="3">
        <f>IF((((Bull!B32*Bull!B36/(1+$A23)^Bull!B37+Bull!C32*Bull!C36/(1+$A23)^Bull!C37+Bull!D32*Bull!D36/(1+$A23)^Bull!D37+Bull!E32*Bull!E36/(1+$A23)^Bull!E37+Bull!F32*Bull!F36/(1+$A23)^Bull!F37+Bull!G32*Bull!G36/(1+$A23)^Bull!G37+Bull!H32*Bull!H36/(1+$A23)^Bull!H37+Bull!I32*Bull!I36/(1+$A23)^Bull!I37+Bull!J32*Bull!J36/(1+$A23)^Bull!J37+Bull!K32*Bull!K36/(1+$A23)^Bull!K37+Bull!$K$34*C$18/(1+$A23)^Bull!$K$37)+Capital!$B$32-Capital!$B$19-Capital!$B$20-(Capital!$B$27+Capital!$B$25+Capital!$B$26+Capital!$B$28))/(Capital!$B$18+0))&lt;Capital!$C$27,(((Bull!B32*Bull!B36/(1+$A23)^Bull!B37+Bull!C32*Bull!C36/(1+$A23)^Bull!C37+Bull!D32*Bull!D36/(1+$A23)^Bull!D37+Bull!E32*Bull!E36/(1+$A23)^Bull!E37+Bull!F32*Bull!F36/(1+$A23)^Bull!F37+Bull!G32*Bull!G36/(1+$A23)^Bull!G37+Bull!H32*Bull!H36/(1+$A23)^Bull!H37+Bull!I32*Bull!I36/(1+$A23)^Bull!I37+Bull!J32*Bull!J36/(1+$A23)^Bull!J37+Bull!K32*Bull!K36/(1+$A23)^Bull!K37+Bull!$K$34*C$18/(1+$A23)^Bull!$K$37)+Capital!$B$32-Capital!$B$19-Capital!$B$20-(Capital!$B$27+Capital!$B$25+Capital!$B$26+Capital!$B$28))/(Capital!$B$18+0)),(IF((((Bull!B32*Bull!B36/(1+$A23)^Bull!B37+Bull!C32*Bull!C36/(1+$A23)^Bull!C37+Bull!D32*Bull!D36/(1+$A23)^Bull!D37+Bull!E32*Bull!E36/(1+$A23)^Bull!E37+Bull!F32*Bull!F36/(1+$A23)^Bull!F37+Bull!G32*Bull!G36/(1+$A23)^Bull!G37+Bull!H32*Bull!H36/(1+$A23)^Bull!H37+Bull!I32*Bull!I36/(1+$A23)^Bull!I37+Bull!J32*Bull!J36/(1+$A23)^Bull!J37+Bull!K32*Bull!K36/(1+$A23)^Bull!K37+Bull!$K$34*C$18/(1+$A23)^Bull!$K$37)+Capital!$B$32-Capital!$B$19-Capital!$B$20-(Capital!$B$25+Capital!$B$26+Capital!$B$28))/(Capital!$B$18+Capital!$D$27))&lt;Capital!$C$25,(((Bull!B32*Bull!B36/(1+$A23)^Bull!B37+Bull!C32*Bull!C36/(1+$A23)^Bull!C37+Bull!D32*Bull!D36/(1+$A23)^Bull!D37+Bull!E32*Bull!E36/(1+$A23)^Bull!E37+Bull!F32*Bull!F36/(1+$A23)^Bull!F37+Bull!G32*Bull!G36/(1+$A23)^Bull!G37+Bull!H32*Bull!H36/(1+$A23)^Bull!H37+Bull!I32*Bull!I36/(1+$A23)^Bull!I37+Bull!J32*Bull!J36/(1+$A23)^Bull!J37+Bull!K32*Bull!K36/(1+$A23)^Bull!K37+Bull!$K$34*C$18/(1+$A23)^Bull!$K$37)+Capital!$B$32-Capital!$B$19-Capital!$B$20-(Capital!$B$25+Capital!$B$26+Capital!$B$28))/(Capital!$B$18+Capital!$D$27)),(IF((((Bull!B32*Bull!B36/(1+$A23)^Bull!B37+Bull!C32*Bull!C36/(1+$A23)^Bull!C37+Bull!D32*Bull!D36/(1+$A23)^Bull!D37+Bull!E32*Bull!E36/(1+$A23)^Bull!E37+Bull!F32*Bull!F36/(1+$A23)^Bull!F37+Bull!G32*Bull!G36/(1+$A23)^Bull!G37+Bull!H32*Bull!H36/(1+$A23)^Bull!H37+Bull!I32*Bull!I36/(1+$A23)^Bull!I37+Bull!J32*Bull!J36/(1+$A23)^Bull!J37+Bull!K32*Bull!K36/(1+$A23)^Bull!K37+Bull!$K$34*C$18/(1+$A23)^Bull!$K$37)+Capital!$B$32-Capital!$B$19-Capital!$B$20-(Capital!$B$26+Capital!$B$28))/(Capital!$B$18+Capital!$D$27+Capital!$D$25))&lt;Capital!$C$26,(((Bull!B32*Bull!B36/(1+$A23)^Bull!B37+Bull!C32*Bull!C36/(1+$A23)^Bull!C37+Bull!D32*Bull!D36/(1+$A23)^Bull!D37+Bull!E32*Bull!E36/(1+$A23)^Bull!E37+Bull!F32*Bull!F36/(1+$A23)^Bull!F37+Bull!G32*Bull!G36/(1+$A23)^Bull!G37+Bull!H32*Bull!H36/(1+$A23)^Bull!H37+Bull!I32*Bull!I36/(1+$A23)^Bull!I37+Bull!J32*Bull!J36/(1+$A23)^Bull!J37+Bull!K32*Bull!K36/(1+$A23)^Bull!K37+Bull!$K$34*C$18/(1+$A23)^Bull!$K$37)+Capital!$B$32-Capital!$B$19-Capital!$B$20-(Capital!$B$26+Capital!$B$28))/(Capital!$B$18+Capital!$D$27+Capital!$D$25)),(IF((((Bull!B32*Bull!B36/(1+$A23)^Bull!B37+Bull!C32*Bull!C36/(1+$A23)^Bull!C37+Bull!D32*Bull!D36/(1+$A23)^Bull!D37+Bull!E32*Bull!E36/(1+$A23)^Bull!E37+Bull!F32*Bull!F36/(1+$A23)^Bull!F37+Bull!G32*Bull!G36/(1+$A23)^Bull!G37+Bull!H32*Bull!H36/(1+$A23)^Bull!H37+Bull!I32*Bull!I36/(1+$A23)^Bull!I37+Bull!J32*Bull!J36/(1+$A23)^Bull!J37+Bull!K32*Bull!K36/(1+$A23)^Bull!K37+Bull!$K$34*C$18/(1+$A23)^Bull!$K$37)+Capital!$B$32-Capital!$B$19-Capital!$B$20-(Capital!$B$28))/(Capital!$B$18+Capital!$D$27+Capital!$D$25+Capital!$D$26))&lt;Capital!$C$28,(((Bull!B32*Bull!B36/(1+$A23)^Bull!B37+Bull!C32*Bull!C36/(1+$A23)^Bull!C37+Bull!D32*Bull!D36/(1+$A23)^Bull!D37+Bull!E32*Bull!E36/(1+$A23)^Bull!E37+Bull!F32*Bull!F36/(1+$A23)^Bull!F37+Bull!G32*Bull!G36/(1+$A23)^Bull!G37+Bull!H32*Bull!H36/(1+$A23)^Bull!H37+Bull!I32*Bull!I36/(1+$A23)^Bull!I37+Bull!J32*Bull!J36/(1+$A23)^Bull!J37+Bull!K32*Bull!K36/(1+$A23)^Bull!K37+Bull!$K$34*C$18/(1+$A23)^Bull!$K$37)+Capital!$B$32-Capital!$B$19-Capital!$B$20-(Capital!$B$28))/(Capital!$B$18+Capital!$D$27+Capital!$D$25+Capital!$D$26)),(((Bull!B32*Bull!B36/(1+$A23)^Bull!B37+Bull!C32*Bull!C36/(1+$A23)^Bull!C37+Bull!D32*Bull!D36/(1+$A23)^Bull!D37+Bull!E32*Bull!E36/(1+$A23)^Bull!E37+Bull!F32*Bull!F36/(1+$A23)^Bull!F37+Bull!G32*Bull!G36/(1+$A23)^Bull!G37+Bull!H32*Bull!H36/(1+$A23)^Bull!H37+Bull!I32*Bull!I36/(1+$A23)^Bull!I37+Bull!J32*Bull!J36/(1+$A23)^Bull!J37+Bull!K32*Bull!K36/(1+$A23)^Bull!K37+Bull!$K$34*C$18/(1+$A23)^Bull!$K$37)+Capital!$B$32-Capital!$B$19-Capital!$B$20-(0))/(Capital!$B$18+Capital!$D$27+Capital!$D$25+Capital!$D$26+Capital!$D$28)))))))))</f>
        <v>404.10710199900961</v>
      </c>
      <c r="D23" s="3">
        <f>IF((((Bull!B32*Bull!B36/(1+$A23)^Bull!B37+Bull!C32*Bull!C36/(1+$A23)^Bull!C37+Bull!D32*Bull!D36/(1+$A23)^Bull!D37+Bull!E32*Bull!E36/(1+$A23)^Bull!E37+Bull!F32*Bull!F36/(1+$A23)^Bull!F37+Bull!G32*Bull!G36/(1+$A23)^Bull!G37+Bull!H32*Bull!H36/(1+$A23)^Bull!H37+Bull!I32*Bull!I36/(1+$A23)^Bull!I37+Bull!J32*Bull!J36/(1+$A23)^Bull!J37+Bull!K32*Bull!K36/(1+$A23)^Bull!K37+Bull!$K$34*D$18/(1+$A23)^Bull!$K$37)+Capital!$B$32-Capital!$B$19-Capital!$B$20-(Capital!$B$27+Capital!$B$25+Capital!$B$26+Capital!$B$28))/(Capital!$B$18+0))&lt;Capital!$C$27,(((Bull!B32*Bull!B36/(1+$A23)^Bull!B37+Bull!C32*Bull!C36/(1+$A23)^Bull!C37+Bull!D32*Bull!D36/(1+$A23)^Bull!D37+Bull!E32*Bull!E36/(1+$A23)^Bull!E37+Bull!F32*Bull!F36/(1+$A23)^Bull!F37+Bull!G32*Bull!G36/(1+$A23)^Bull!G37+Bull!H32*Bull!H36/(1+$A23)^Bull!H37+Bull!I32*Bull!I36/(1+$A23)^Bull!I37+Bull!J32*Bull!J36/(1+$A23)^Bull!J37+Bull!K32*Bull!K36/(1+$A23)^Bull!K37+Bull!$K$34*D$18/(1+$A23)^Bull!$K$37)+Capital!$B$32-Capital!$B$19-Capital!$B$20-(Capital!$B$27+Capital!$B$25+Capital!$B$26+Capital!$B$28))/(Capital!$B$18+0)),(IF((((Bull!B32*Bull!B36/(1+$A23)^Bull!B37+Bull!C32*Bull!C36/(1+$A23)^Bull!C37+Bull!D32*Bull!D36/(1+$A23)^Bull!D37+Bull!E32*Bull!E36/(1+$A23)^Bull!E37+Bull!F32*Bull!F36/(1+$A23)^Bull!F37+Bull!G32*Bull!G36/(1+$A23)^Bull!G37+Bull!H32*Bull!H36/(1+$A23)^Bull!H37+Bull!I32*Bull!I36/(1+$A23)^Bull!I37+Bull!J32*Bull!J36/(1+$A23)^Bull!J37+Bull!K32*Bull!K36/(1+$A23)^Bull!K37+Bull!$K$34*D$18/(1+$A23)^Bull!$K$37)+Capital!$B$32-Capital!$B$19-Capital!$B$20-(Capital!$B$25+Capital!$B$26+Capital!$B$28))/(Capital!$B$18+Capital!$D$27))&lt;Capital!$C$25,(((Bull!B32*Bull!B36/(1+$A23)^Bull!B37+Bull!C32*Bull!C36/(1+$A23)^Bull!C37+Bull!D32*Bull!D36/(1+$A23)^Bull!D37+Bull!E32*Bull!E36/(1+$A23)^Bull!E37+Bull!F32*Bull!F36/(1+$A23)^Bull!F37+Bull!G32*Bull!G36/(1+$A23)^Bull!G37+Bull!H32*Bull!H36/(1+$A23)^Bull!H37+Bull!I32*Bull!I36/(1+$A23)^Bull!I37+Bull!J32*Bull!J36/(1+$A23)^Bull!J37+Bull!K32*Bull!K36/(1+$A23)^Bull!K37+Bull!$K$34*D$18/(1+$A23)^Bull!$K$37)+Capital!$B$32-Capital!$B$19-Capital!$B$20-(Capital!$B$25+Capital!$B$26+Capital!$B$28))/(Capital!$B$18+Capital!$D$27)),(IF((((Bull!B32*Bull!B36/(1+$A23)^Bull!B37+Bull!C32*Bull!C36/(1+$A23)^Bull!C37+Bull!D32*Bull!D36/(1+$A23)^Bull!D37+Bull!E32*Bull!E36/(1+$A23)^Bull!E37+Bull!F32*Bull!F36/(1+$A23)^Bull!F37+Bull!G32*Bull!G36/(1+$A23)^Bull!G37+Bull!H32*Bull!H36/(1+$A23)^Bull!H37+Bull!I32*Bull!I36/(1+$A23)^Bull!I37+Bull!J32*Bull!J36/(1+$A23)^Bull!J37+Bull!K32*Bull!K36/(1+$A23)^Bull!K37+Bull!$K$34*D$18/(1+$A23)^Bull!$K$37)+Capital!$B$32-Capital!$B$19-Capital!$B$20-(Capital!$B$26+Capital!$B$28))/(Capital!$B$18+Capital!$D$27+Capital!$D$25))&lt;Capital!$C$26,(((Bull!B32*Bull!B36/(1+$A23)^Bull!B37+Bull!C32*Bull!C36/(1+$A23)^Bull!C37+Bull!D32*Bull!D36/(1+$A23)^Bull!D37+Bull!E32*Bull!E36/(1+$A23)^Bull!E37+Bull!F32*Bull!F36/(1+$A23)^Bull!F37+Bull!G32*Bull!G36/(1+$A23)^Bull!G37+Bull!H32*Bull!H36/(1+$A23)^Bull!H37+Bull!I32*Bull!I36/(1+$A23)^Bull!I37+Bull!J32*Bull!J36/(1+$A23)^Bull!J37+Bull!K32*Bull!K36/(1+$A23)^Bull!K37+Bull!$K$34*D$18/(1+$A23)^Bull!$K$37)+Capital!$B$32-Capital!$B$19-Capital!$B$20-(Capital!$B$26+Capital!$B$28))/(Capital!$B$18+Capital!$D$27+Capital!$D$25)),(IF((((Bull!B32*Bull!B36/(1+$A23)^Bull!B37+Bull!C32*Bull!C36/(1+$A23)^Bull!C37+Bull!D32*Bull!D36/(1+$A23)^Bull!D37+Bull!E32*Bull!E36/(1+$A23)^Bull!E37+Bull!F32*Bull!F36/(1+$A23)^Bull!F37+Bull!G32*Bull!G36/(1+$A23)^Bull!G37+Bull!H32*Bull!H36/(1+$A23)^Bull!H37+Bull!I32*Bull!I36/(1+$A23)^Bull!I37+Bull!J32*Bull!J36/(1+$A23)^Bull!J37+Bull!K32*Bull!K36/(1+$A23)^Bull!K37+Bull!$K$34*D$18/(1+$A23)^Bull!$K$37)+Capital!$B$32-Capital!$B$19-Capital!$B$20-(Capital!$B$28))/(Capital!$B$18+Capital!$D$27+Capital!$D$25+Capital!$D$26))&lt;Capital!$C$28,(((Bull!B32*Bull!B36/(1+$A23)^Bull!B37+Bull!C32*Bull!C36/(1+$A23)^Bull!C37+Bull!D32*Bull!D36/(1+$A23)^Bull!D37+Bull!E32*Bull!E36/(1+$A23)^Bull!E37+Bull!F32*Bull!F36/(1+$A23)^Bull!F37+Bull!G32*Bull!G36/(1+$A23)^Bull!G37+Bull!H32*Bull!H36/(1+$A23)^Bull!H37+Bull!I32*Bull!I36/(1+$A23)^Bull!I37+Bull!J32*Bull!J36/(1+$A23)^Bull!J37+Bull!K32*Bull!K36/(1+$A23)^Bull!K37+Bull!$K$34*D$18/(1+$A23)^Bull!$K$37)+Capital!$B$32-Capital!$B$19-Capital!$B$20-(Capital!$B$28))/(Capital!$B$18+Capital!$D$27+Capital!$D$25+Capital!$D$26)),(((Bull!B32*Bull!B36/(1+$A23)^Bull!B37+Bull!C32*Bull!C36/(1+$A23)^Bull!C37+Bull!D32*Bull!D36/(1+$A23)^Bull!D37+Bull!E32*Bull!E36/(1+$A23)^Bull!E37+Bull!F32*Bull!F36/(1+$A23)^Bull!F37+Bull!G32*Bull!G36/(1+$A23)^Bull!G37+Bull!H32*Bull!H36/(1+$A23)^Bull!H37+Bull!I32*Bull!I36/(1+$A23)^Bull!I37+Bull!J32*Bull!J36/(1+$A23)^Bull!J37+Bull!K32*Bull!K36/(1+$A23)^Bull!K37+Bull!$K$34*D$18/(1+$A23)^Bull!$K$37)+Capital!$B$32-Capital!$B$19-Capital!$B$20-(0))/(Capital!$B$18+Capital!$D$27+Capital!$D$25+Capital!$D$26+Capital!$D$28)))))))))</f>
        <v>436.11842675895588</v>
      </c>
      <c r="E23" s="3">
        <f>IF((((Bull!B32*Bull!B36/(1+$A23)^Bull!B37+Bull!C32*Bull!C36/(1+$A23)^Bull!C37+Bull!D32*Bull!D36/(1+$A23)^Bull!D37+Bull!E32*Bull!E36/(1+$A23)^Bull!E37+Bull!F32*Bull!F36/(1+$A23)^Bull!F37+Bull!G32*Bull!G36/(1+$A23)^Bull!G37+Bull!H32*Bull!H36/(1+$A23)^Bull!H37+Bull!I32*Bull!I36/(1+$A23)^Bull!I37+Bull!J32*Bull!J36/(1+$A23)^Bull!J37+Bull!K32*Bull!K36/(1+$A23)^Bull!K37+Bull!$K$34*E$18/(1+$A23)^Bull!$K$37)+Capital!$B$32-Capital!$B$19-Capital!$B$20-(Capital!$B$27+Capital!$B$25+Capital!$B$26+Capital!$B$28))/(Capital!$B$18+0))&lt;Capital!$C$27,(((Bull!B32*Bull!B36/(1+$A23)^Bull!B37+Bull!C32*Bull!C36/(1+$A23)^Bull!C37+Bull!D32*Bull!D36/(1+$A23)^Bull!D37+Bull!E32*Bull!E36/(1+$A23)^Bull!E37+Bull!F32*Bull!F36/(1+$A23)^Bull!F37+Bull!G32*Bull!G36/(1+$A23)^Bull!G37+Bull!H32*Bull!H36/(1+$A23)^Bull!H37+Bull!I32*Bull!I36/(1+$A23)^Bull!I37+Bull!J32*Bull!J36/(1+$A23)^Bull!J37+Bull!K32*Bull!K36/(1+$A23)^Bull!K37+Bull!$K$34*E$18/(1+$A23)^Bull!$K$37)+Capital!$B$32-Capital!$B$19-Capital!$B$20-(Capital!$B$27+Capital!$B$25+Capital!$B$26+Capital!$B$28))/(Capital!$B$18+0)),(IF((((Bull!B32*Bull!B36/(1+$A23)^Bull!B37+Bull!C32*Bull!C36/(1+$A23)^Bull!C37+Bull!D32*Bull!D36/(1+$A23)^Bull!D37+Bull!E32*Bull!E36/(1+$A23)^Bull!E37+Bull!F32*Bull!F36/(1+$A23)^Bull!F37+Bull!G32*Bull!G36/(1+$A23)^Bull!G37+Bull!H32*Bull!H36/(1+$A23)^Bull!H37+Bull!I32*Bull!I36/(1+$A23)^Bull!I37+Bull!J32*Bull!J36/(1+$A23)^Bull!J37+Bull!K32*Bull!K36/(1+$A23)^Bull!K37+Bull!$K$34*E$18/(1+$A23)^Bull!$K$37)+Capital!$B$32-Capital!$B$19-Capital!$B$20-(Capital!$B$25+Capital!$B$26+Capital!$B$28))/(Capital!$B$18+Capital!$D$27))&lt;Capital!$C$25,(((Bull!B32*Bull!B36/(1+$A23)^Bull!B37+Bull!C32*Bull!C36/(1+$A23)^Bull!C37+Bull!D32*Bull!D36/(1+$A23)^Bull!D37+Bull!E32*Bull!E36/(1+$A23)^Bull!E37+Bull!F32*Bull!F36/(1+$A23)^Bull!F37+Bull!G32*Bull!G36/(1+$A23)^Bull!G37+Bull!H32*Bull!H36/(1+$A23)^Bull!H37+Bull!I32*Bull!I36/(1+$A23)^Bull!I37+Bull!J32*Bull!J36/(1+$A23)^Bull!J37+Bull!K32*Bull!K36/(1+$A23)^Bull!K37+Bull!$K$34*E$18/(1+$A23)^Bull!$K$37)+Capital!$B$32-Capital!$B$19-Capital!$B$20-(Capital!$B$25+Capital!$B$26+Capital!$B$28))/(Capital!$B$18+Capital!$D$27)),(IF((((Bull!B32*Bull!B36/(1+$A23)^Bull!B37+Bull!C32*Bull!C36/(1+$A23)^Bull!C37+Bull!D32*Bull!D36/(1+$A23)^Bull!D37+Bull!E32*Bull!E36/(1+$A23)^Bull!E37+Bull!F32*Bull!F36/(1+$A23)^Bull!F37+Bull!G32*Bull!G36/(1+$A23)^Bull!G37+Bull!H32*Bull!H36/(1+$A23)^Bull!H37+Bull!I32*Bull!I36/(1+$A23)^Bull!I37+Bull!J32*Bull!J36/(1+$A23)^Bull!J37+Bull!K32*Bull!K36/(1+$A23)^Bull!K37+Bull!$K$34*E$18/(1+$A23)^Bull!$K$37)+Capital!$B$32-Capital!$B$19-Capital!$B$20-(Capital!$B$26+Capital!$B$28))/(Capital!$B$18+Capital!$D$27+Capital!$D$25))&lt;Capital!$C$26,(((Bull!B32*Bull!B36/(1+$A23)^Bull!B37+Bull!C32*Bull!C36/(1+$A23)^Bull!C37+Bull!D32*Bull!D36/(1+$A23)^Bull!D37+Bull!E32*Bull!E36/(1+$A23)^Bull!E37+Bull!F32*Bull!F36/(1+$A23)^Bull!F37+Bull!G32*Bull!G36/(1+$A23)^Bull!G37+Bull!H32*Bull!H36/(1+$A23)^Bull!H37+Bull!I32*Bull!I36/(1+$A23)^Bull!I37+Bull!J32*Bull!J36/(1+$A23)^Bull!J37+Bull!K32*Bull!K36/(1+$A23)^Bull!K37+Bull!$K$34*E$18/(1+$A23)^Bull!$K$37)+Capital!$B$32-Capital!$B$19-Capital!$B$20-(Capital!$B$26+Capital!$B$28))/(Capital!$B$18+Capital!$D$27+Capital!$D$25)),(IF((((Bull!B32*Bull!B36/(1+$A23)^Bull!B37+Bull!C32*Bull!C36/(1+$A23)^Bull!C37+Bull!D32*Bull!D36/(1+$A23)^Bull!D37+Bull!E32*Bull!E36/(1+$A23)^Bull!E37+Bull!F32*Bull!F36/(1+$A23)^Bull!F37+Bull!G32*Bull!G36/(1+$A23)^Bull!G37+Bull!H32*Bull!H36/(1+$A23)^Bull!H37+Bull!I32*Bull!I36/(1+$A23)^Bull!I37+Bull!J32*Bull!J36/(1+$A23)^Bull!J37+Bull!K32*Bull!K36/(1+$A23)^Bull!K37+Bull!$K$34*E$18/(1+$A23)^Bull!$K$37)+Capital!$B$32-Capital!$B$19-Capital!$B$20-(Capital!$B$28))/(Capital!$B$18+Capital!$D$27+Capital!$D$25+Capital!$D$26))&lt;Capital!$C$28,(((Bull!B32*Bull!B36/(1+$A23)^Bull!B37+Bull!C32*Bull!C36/(1+$A23)^Bull!C37+Bull!D32*Bull!D36/(1+$A23)^Bull!D37+Bull!E32*Bull!E36/(1+$A23)^Bull!E37+Bull!F32*Bull!F36/(1+$A23)^Bull!F37+Bull!G32*Bull!G36/(1+$A23)^Bull!G37+Bull!H32*Bull!H36/(1+$A23)^Bull!H37+Bull!I32*Bull!I36/(1+$A23)^Bull!I37+Bull!J32*Bull!J36/(1+$A23)^Bull!J37+Bull!K32*Bull!K36/(1+$A23)^Bull!K37+Bull!$K$34*E$18/(1+$A23)^Bull!$K$37)+Capital!$B$32-Capital!$B$19-Capital!$B$20-(Capital!$B$28))/(Capital!$B$18+Capital!$D$27+Capital!$D$25+Capital!$D$26)),(((Bull!B32*Bull!B36/(1+$A23)^Bull!B37+Bull!C32*Bull!C36/(1+$A23)^Bull!C37+Bull!D32*Bull!D36/(1+$A23)^Bull!D37+Bull!E32*Bull!E36/(1+$A23)^Bull!E37+Bull!F32*Bull!F36/(1+$A23)^Bull!F37+Bull!G32*Bull!G36/(1+$A23)^Bull!G37+Bull!H32*Bull!H36/(1+$A23)^Bull!H37+Bull!I32*Bull!I36/(1+$A23)^Bull!I37+Bull!J32*Bull!J36/(1+$A23)^Bull!J37+Bull!K32*Bull!K36/(1+$A23)^Bull!K37+Bull!$K$34*E$18/(1+$A23)^Bull!$K$37)+Capital!$B$32-Capital!$B$19-Capital!$B$20-(0))/(Capital!$B$18+Capital!$D$27+Capital!$D$25+Capital!$D$26+Capital!$D$28)))))))))</f>
        <v>468.1297515189022</v>
      </c>
      <c r="F23" s="3">
        <f>IF((((Bull!B32*Bull!B36/(1+$A23)^Bull!B37+Bull!C32*Bull!C36/(1+$A23)^Bull!C37+Bull!D32*Bull!D36/(1+$A23)^Bull!D37+Bull!E32*Bull!E36/(1+$A23)^Bull!E37+Bull!F32*Bull!F36/(1+$A23)^Bull!F37+Bull!G32*Bull!G36/(1+$A23)^Bull!G37+Bull!H32*Bull!H36/(1+$A23)^Bull!H37+Bull!I32*Bull!I36/(1+$A23)^Bull!I37+Bull!J32*Bull!J36/(1+$A23)^Bull!J37+Bull!K32*Bull!K36/(1+$A23)^Bull!K37+Bull!$K$34*F$18/(1+$A23)^Bull!$K$37)+Capital!$B$32-Capital!$B$19-Capital!$B$20-(Capital!$B$27+Capital!$B$25+Capital!$B$26+Capital!$B$28))/(Capital!$B$18+0))&lt;Capital!$C$27,(((Bull!B32*Bull!B36/(1+$A23)^Bull!B37+Bull!C32*Bull!C36/(1+$A23)^Bull!C37+Bull!D32*Bull!D36/(1+$A23)^Bull!D37+Bull!E32*Bull!E36/(1+$A23)^Bull!E37+Bull!F32*Bull!F36/(1+$A23)^Bull!F37+Bull!G32*Bull!G36/(1+$A23)^Bull!G37+Bull!H32*Bull!H36/(1+$A23)^Bull!H37+Bull!I32*Bull!I36/(1+$A23)^Bull!I37+Bull!J32*Bull!J36/(1+$A23)^Bull!J37+Bull!K32*Bull!K36/(1+$A23)^Bull!K37+Bull!$K$34*F$18/(1+$A23)^Bull!$K$37)+Capital!$B$32-Capital!$B$19-Capital!$B$20-(Capital!$B$27+Capital!$B$25+Capital!$B$26+Capital!$B$28))/(Capital!$B$18+0)),(IF((((Bull!B32*Bull!B36/(1+$A23)^Bull!B37+Bull!C32*Bull!C36/(1+$A23)^Bull!C37+Bull!D32*Bull!D36/(1+$A23)^Bull!D37+Bull!E32*Bull!E36/(1+$A23)^Bull!E37+Bull!F32*Bull!F36/(1+$A23)^Bull!F37+Bull!G32*Bull!G36/(1+$A23)^Bull!G37+Bull!H32*Bull!H36/(1+$A23)^Bull!H37+Bull!I32*Bull!I36/(1+$A23)^Bull!I37+Bull!J32*Bull!J36/(1+$A23)^Bull!J37+Bull!K32*Bull!K36/(1+$A23)^Bull!K37+Bull!$K$34*F$18/(1+$A23)^Bull!$K$37)+Capital!$B$32-Capital!$B$19-Capital!$B$20-(Capital!$B$25+Capital!$B$26+Capital!$B$28))/(Capital!$B$18+Capital!$D$27))&lt;Capital!$C$25,(((Bull!B32*Bull!B36/(1+$A23)^Bull!B37+Bull!C32*Bull!C36/(1+$A23)^Bull!C37+Bull!D32*Bull!D36/(1+$A23)^Bull!D37+Bull!E32*Bull!E36/(1+$A23)^Bull!E37+Bull!F32*Bull!F36/(1+$A23)^Bull!F37+Bull!G32*Bull!G36/(1+$A23)^Bull!G37+Bull!H32*Bull!H36/(1+$A23)^Bull!H37+Bull!I32*Bull!I36/(1+$A23)^Bull!I37+Bull!J32*Bull!J36/(1+$A23)^Bull!J37+Bull!K32*Bull!K36/(1+$A23)^Bull!K37+Bull!$K$34*F$18/(1+$A23)^Bull!$K$37)+Capital!$B$32-Capital!$B$19-Capital!$B$20-(Capital!$B$25+Capital!$B$26+Capital!$B$28))/(Capital!$B$18+Capital!$D$27)),(IF((((Bull!B32*Bull!B36/(1+$A23)^Bull!B37+Bull!C32*Bull!C36/(1+$A23)^Bull!C37+Bull!D32*Bull!D36/(1+$A23)^Bull!D37+Bull!E32*Bull!E36/(1+$A23)^Bull!E37+Bull!F32*Bull!F36/(1+$A23)^Bull!F37+Bull!G32*Bull!G36/(1+$A23)^Bull!G37+Bull!H32*Bull!H36/(1+$A23)^Bull!H37+Bull!I32*Bull!I36/(1+$A23)^Bull!I37+Bull!J32*Bull!J36/(1+$A23)^Bull!J37+Bull!K32*Bull!K36/(1+$A23)^Bull!K37+Bull!$K$34*F$18/(1+$A23)^Bull!$K$37)+Capital!$B$32-Capital!$B$19-Capital!$B$20-(Capital!$B$26+Capital!$B$28))/(Capital!$B$18+Capital!$D$27+Capital!$D$25))&lt;Capital!$C$26,(((Bull!B32*Bull!B36/(1+$A23)^Bull!B37+Bull!C32*Bull!C36/(1+$A23)^Bull!C37+Bull!D32*Bull!D36/(1+$A23)^Bull!D37+Bull!E32*Bull!E36/(1+$A23)^Bull!E37+Bull!F32*Bull!F36/(1+$A23)^Bull!F37+Bull!G32*Bull!G36/(1+$A23)^Bull!G37+Bull!H32*Bull!H36/(1+$A23)^Bull!H37+Bull!I32*Bull!I36/(1+$A23)^Bull!I37+Bull!J32*Bull!J36/(1+$A23)^Bull!J37+Bull!K32*Bull!K36/(1+$A23)^Bull!K37+Bull!$K$34*F$18/(1+$A23)^Bull!$K$37)+Capital!$B$32-Capital!$B$19-Capital!$B$20-(Capital!$B$26+Capital!$B$28))/(Capital!$B$18+Capital!$D$27+Capital!$D$25)),(IF((((Bull!B32*Bull!B36/(1+$A23)^Bull!B37+Bull!C32*Bull!C36/(1+$A23)^Bull!C37+Bull!D32*Bull!D36/(1+$A23)^Bull!D37+Bull!E32*Bull!E36/(1+$A23)^Bull!E37+Bull!F32*Bull!F36/(1+$A23)^Bull!F37+Bull!G32*Bull!G36/(1+$A23)^Bull!G37+Bull!H32*Bull!H36/(1+$A23)^Bull!H37+Bull!I32*Bull!I36/(1+$A23)^Bull!I37+Bull!J32*Bull!J36/(1+$A23)^Bull!J37+Bull!K32*Bull!K36/(1+$A23)^Bull!K37+Bull!$K$34*F$18/(1+$A23)^Bull!$K$37)+Capital!$B$32-Capital!$B$19-Capital!$B$20-(Capital!$B$28))/(Capital!$B$18+Capital!$D$27+Capital!$D$25+Capital!$D$26))&lt;Capital!$C$28,(((Bull!B32*Bull!B36/(1+$A23)^Bull!B37+Bull!C32*Bull!C36/(1+$A23)^Bull!C37+Bull!D32*Bull!D36/(1+$A23)^Bull!D37+Bull!E32*Bull!E36/(1+$A23)^Bull!E37+Bull!F32*Bull!F36/(1+$A23)^Bull!F37+Bull!G32*Bull!G36/(1+$A23)^Bull!G37+Bull!H32*Bull!H36/(1+$A23)^Bull!H37+Bull!I32*Bull!I36/(1+$A23)^Bull!I37+Bull!J32*Bull!J36/(1+$A23)^Bull!J37+Bull!K32*Bull!K36/(1+$A23)^Bull!K37+Bull!$K$34*F$18/(1+$A23)^Bull!$K$37)+Capital!$B$32-Capital!$B$19-Capital!$B$20-(Capital!$B$28))/(Capital!$B$18+Capital!$D$27+Capital!$D$25+Capital!$D$26)),(((Bull!B32*Bull!B36/(1+$A23)^Bull!B37+Bull!C32*Bull!C36/(1+$A23)^Bull!C37+Bull!D32*Bull!D36/(1+$A23)^Bull!D37+Bull!E32*Bull!E36/(1+$A23)^Bull!E37+Bull!F32*Bull!F36/(1+$A23)^Bull!F37+Bull!G32*Bull!G36/(1+$A23)^Bull!G37+Bull!H32*Bull!H36/(1+$A23)^Bull!H37+Bull!I32*Bull!I36/(1+$A23)^Bull!I37+Bull!J32*Bull!J36/(1+$A23)^Bull!J37+Bull!K32*Bull!K36/(1+$A23)^Bull!K37+Bull!$K$34*F$18/(1+$A23)^Bull!$K$37)+Capital!$B$32-Capital!$B$19-Capital!$B$20-(0))/(Capital!$B$18+Capital!$D$27+Capital!$D$25+Capital!$D$26+Capital!$D$28)))))))))</f>
        <v>500.14107627884852</v>
      </c>
    </row>
    <row r="26" spans="1:11" ht="54" customHeight="1" x14ac:dyDescent="0.35">
      <c r="A26" s="12" t="s">
        <v>243</v>
      </c>
      <c r="B26" s="12"/>
      <c r="C26" s="12"/>
      <c r="D26" s="12"/>
      <c r="E26" s="12"/>
      <c r="F26" s="12"/>
      <c r="G26" s="12"/>
      <c r="H26" s="12"/>
      <c r="I26" s="12"/>
      <c r="J26" s="12"/>
      <c r="K26" s="12"/>
    </row>
  </sheetData>
  <mergeCells count="5">
    <mergeCell ref="A1:K2"/>
    <mergeCell ref="A3:K3"/>
    <mergeCell ref="A5:K5"/>
    <mergeCell ref="A16:K16"/>
    <mergeCell ref="A26:K26"/>
  </mergeCells>
  <conditionalFormatting sqref="B8:F12">
    <cfRule type="colorScale" priority="1">
      <colorScale>
        <cfvo type="min"/>
        <cfvo type="percentile" val="50"/>
        <cfvo type="max"/>
        <color rgb="FFF8696B"/>
        <color rgb="FFFFEB84"/>
        <color rgb="FF63BE7B"/>
      </colorScale>
    </cfRule>
  </conditionalFormatting>
  <conditionalFormatting sqref="B19:F23">
    <cfRule type="colorScale" priority="2">
      <colorScale>
        <cfvo type="min"/>
        <cfvo type="percentile" val="50"/>
        <cfvo type="max"/>
        <color rgb="FFF8696B"/>
        <color rgb="FFFFEB84"/>
        <color rgb="FF63BE7B"/>
      </colorScale>
    </cfRule>
  </conditionalFormatting>
  <pageMargins left="0.7" right="0.7" top="0.75" bottom="0.75" header="0.3" footer="0.3"/>
  <pageSetup paperSize="9" fitToHeight="0" orientation="landscape"/>
  <headerFooter>
    <oddFooter>&amp;LAI-assisted; sources and assumptions disclosed&amp;R&amp;P / &amp;N</oddFooter>
  </headerFooter>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pageSetUpPr fitToPage="1"/>
  </sheetPr>
  <dimension ref="A1:K69"/>
  <sheetViews>
    <sheetView showGridLines="0" zoomScale="90" zoomScaleNormal="90" workbookViewId="0">
      <pane xSplit="1" ySplit="6" topLeftCell="B7" activePane="bottomRight" state="frozen"/>
      <selection pane="topRight" activeCell="B1" sqref="B1"/>
      <selection pane="bottomLeft" activeCell="A7" sqref="A7"/>
      <selection pane="bottomRight"/>
    </sheetView>
  </sheetViews>
  <sheetFormatPr defaultRowHeight="14.5" x14ac:dyDescent="0.35"/>
  <cols>
    <col min="1" max="1" width="40.7265625" customWidth="1"/>
    <col min="2" max="11" width="14.7265625" customWidth="1"/>
  </cols>
  <sheetData>
    <row r="1" spans="1:11" x14ac:dyDescent="0.35">
      <c r="A1" s="9" t="s">
        <v>10</v>
      </c>
      <c r="B1" s="9"/>
      <c r="C1" s="9"/>
      <c r="D1" s="9"/>
      <c r="E1" s="9"/>
      <c r="F1" s="9"/>
      <c r="G1" s="9"/>
      <c r="H1" s="9"/>
      <c r="I1" s="9"/>
      <c r="J1" s="9"/>
      <c r="K1" s="9"/>
    </row>
    <row r="2" spans="1:11" x14ac:dyDescent="0.35">
      <c r="A2" s="9"/>
      <c r="B2" s="9"/>
      <c r="C2" s="9"/>
      <c r="D2" s="9"/>
      <c r="E2" s="9"/>
      <c r="F2" s="9"/>
      <c r="G2" s="9"/>
      <c r="H2" s="9"/>
      <c r="I2" s="9"/>
      <c r="J2" s="9"/>
      <c r="K2" s="9"/>
    </row>
    <row r="3" spans="1:11" x14ac:dyDescent="0.35">
      <c r="A3" s="10" t="s">
        <v>1</v>
      </c>
      <c r="B3" s="10"/>
      <c r="C3" s="10"/>
      <c r="D3" s="10"/>
      <c r="E3" s="10"/>
      <c r="F3" s="10"/>
      <c r="G3" s="10"/>
      <c r="H3" s="10"/>
      <c r="I3" s="10"/>
      <c r="J3" s="10"/>
      <c r="K3" s="10"/>
    </row>
    <row r="5" spans="1:11" x14ac:dyDescent="0.35">
      <c r="A5" s="2" t="s">
        <v>244</v>
      </c>
      <c r="B5" s="7">
        <v>0.59488067915774123</v>
      </c>
    </row>
    <row r="6" spans="1:11" x14ac:dyDescent="0.35">
      <c r="A6" s="2" t="s">
        <v>245</v>
      </c>
      <c r="B6" s="7">
        <v>1.714433706548695</v>
      </c>
    </row>
    <row r="9" spans="1:11" ht="24" customHeight="1" x14ac:dyDescent="0.35">
      <c r="A9" s="11" t="s">
        <v>246</v>
      </c>
      <c r="B9" s="11"/>
      <c r="C9" s="11"/>
      <c r="D9" s="11"/>
      <c r="E9" s="11"/>
      <c r="F9" s="11"/>
      <c r="G9" s="11"/>
      <c r="H9" s="11"/>
      <c r="I9" s="11"/>
      <c r="J9" s="11"/>
      <c r="K9" s="11"/>
    </row>
    <row r="10" spans="1:11" x14ac:dyDescent="0.35">
      <c r="B10" s="1" t="s">
        <v>76</v>
      </c>
      <c r="C10" s="1" t="s">
        <v>77</v>
      </c>
      <c r="D10" s="1" t="s">
        <v>78</v>
      </c>
      <c r="E10" s="1" t="s">
        <v>79</v>
      </c>
      <c r="F10" s="1" t="s">
        <v>80</v>
      </c>
      <c r="G10" s="1" t="s">
        <v>81</v>
      </c>
      <c r="H10" s="1" t="s">
        <v>82</v>
      </c>
      <c r="I10" s="1" t="s">
        <v>83</v>
      </c>
      <c r="J10" s="1" t="s">
        <v>84</v>
      </c>
      <c r="K10" s="1" t="s">
        <v>85</v>
      </c>
    </row>
    <row r="11" spans="1:11" x14ac:dyDescent="0.35">
      <c r="A11" s="2" t="s">
        <v>247</v>
      </c>
      <c r="B11" s="4">
        <f>Bull!B8</f>
        <v>1.3088539252697711</v>
      </c>
      <c r="C11" s="4">
        <f>$B$5</f>
        <v>0.59488067915774123</v>
      </c>
      <c r="D11" s="4">
        <f>$B$5</f>
        <v>0.59488067915774123</v>
      </c>
      <c r="E11" s="4">
        <f>$B$5</f>
        <v>0.59488067915774123</v>
      </c>
      <c r="F11" s="4">
        <f>$B$5</f>
        <v>0.59488067915774123</v>
      </c>
      <c r="G11" s="4">
        <f>$B$5+(WACC!$B$30-$B$5)*1/5</f>
        <v>0.48190454332619298</v>
      </c>
      <c r="H11" s="4">
        <f>$B$5+(WACC!$B$30-$B$5)*2/5</f>
        <v>0.36892840749464473</v>
      </c>
      <c r="I11" s="4">
        <f>$B$5+(WACC!$B$30-$B$5)*3/5</f>
        <v>0.25595227166309653</v>
      </c>
      <c r="J11" s="4">
        <f>$B$5+(WACC!$B$30-$B$5)*4/5</f>
        <v>0.14297613583154828</v>
      </c>
      <c r="K11" s="4">
        <f>$B$5+(WACC!$B$30-$B$5)*5/5</f>
        <v>3.0000000000000027E-2</v>
      </c>
    </row>
    <row r="12" spans="1:11" x14ac:dyDescent="0.35">
      <c r="A12" s="2" t="s">
        <v>248</v>
      </c>
      <c r="B12" s="5">
        <f>Bull!B18</f>
        <v>6391.1154619999998</v>
      </c>
      <c r="C12" s="5">
        <f t="shared" ref="C12:K12" si="0">B12*(1+C11)</f>
        <v>10193.0665686101</v>
      </c>
      <c r="D12" s="5">
        <f t="shared" si="0"/>
        <v>16256.724931644943</v>
      </c>
      <c r="E12" s="5">
        <f t="shared" si="0"/>
        <v>25927.536499862472</v>
      </c>
      <c r="F12" s="5">
        <f t="shared" si="0"/>
        <v>41351.327021787787</v>
      </c>
      <c r="G12" s="5">
        <f t="shared" si="0"/>
        <v>61278.719386154495</v>
      </c>
      <c r="H12" s="5">
        <f t="shared" si="0"/>
        <v>83886.179742599677</v>
      </c>
      <c r="I12" s="5">
        <f t="shared" si="0"/>
        <v>105357.03800885691</v>
      </c>
      <c r="J12" s="5">
        <f t="shared" si="0"/>
        <v>120420.58018602082</v>
      </c>
      <c r="K12" s="5">
        <f t="shared" si="0"/>
        <v>124033.19759160145</v>
      </c>
    </row>
    <row r="13" spans="1:11" x14ac:dyDescent="0.35">
      <c r="A13" s="2" t="s">
        <v>249</v>
      </c>
      <c r="B13" s="5">
        <f>Bull!B19</f>
        <v>260.66460000000001</v>
      </c>
      <c r="C13" s="5">
        <f>Bull!C19</f>
        <v>276.30447600000002</v>
      </c>
      <c r="D13" s="5">
        <f>Bull!D19</f>
        <v>292.88274455999999</v>
      </c>
      <c r="E13" s="5">
        <f>Bull!E19</f>
        <v>310.45570923360009</v>
      </c>
      <c r="F13" s="5">
        <f>Bull!F19</f>
        <v>329.08305178761606</v>
      </c>
      <c r="G13" s="5">
        <f>Bull!G19</f>
        <v>345.5372043769969</v>
      </c>
      <c r="H13" s="5">
        <f>Bull!H19</f>
        <v>359.35869255207677</v>
      </c>
      <c r="I13" s="5">
        <f>Bull!I19</f>
        <v>370.13945332863909</v>
      </c>
      <c r="J13" s="5">
        <f>Bull!J19</f>
        <v>381.24363692849829</v>
      </c>
      <c r="K13" s="5">
        <f>Bull!K19</f>
        <v>392.68094603635325</v>
      </c>
    </row>
    <row r="14" spans="1:11" x14ac:dyDescent="0.35">
      <c r="A14" s="2" t="s">
        <v>117</v>
      </c>
      <c r="B14" s="5">
        <f t="shared" ref="B14:K14" si="1">B12+B13</f>
        <v>6651.7800619999998</v>
      </c>
      <c r="C14" s="5">
        <f t="shared" si="1"/>
        <v>10469.371044610099</v>
      </c>
      <c r="D14" s="5">
        <f t="shared" si="1"/>
        <v>16549.607676204942</v>
      </c>
      <c r="E14" s="5">
        <f t="shared" si="1"/>
        <v>26237.992209096072</v>
      </c>
      <c r="F14" s="5">
        <f t="shared" si="1"/>
        <v>41680.410073575404</v>
      </c>
      <c r="G14" s="5">
        <f t="shared" si="1"/>
        <v>61624.256590531491</v>
      </c>
      <c r="H14" s="5">
        <f t="shared" si="1"/>
        <v>84245.538435151757</v>
      </c>
      <c r="I14" s="5">
        <f t="shared" si="1"/>
        <v>105727.17746218554</v>
      </c>
      <c r="J14" s="5">
        <f t="shared" si="1"/>
        <v>120801.82382294931</v>
      </c>
      <c r="K14" s="5">
        <f t="shared" si="1"/>
        <v>124425.87853763781</v>
      </c>
    </row>
    <row r="15" spans="1:11" x14ac:dyDescent="0.35">
      <c r="A15" s="2" t="s">
        <v>250</v>
      </c>
      <c r="B15" s="4">
        <f>Bull!B10</f>
        <v>0.40750000000000003</v>
      </c>
      <c r="C15" s="4">
        <f>Bull!C10</f>
        <v>0.42499999999999999</v>
      </c>
      <c r="D15" s="4">
        <f>Bull!D10</f>
        <v>0.42499999999999999</v>
      </c>
      <c r="E15" s="4">
        <f>Bull!E10</f>
        <v>0.41500000000000004</v>
      </c>
      <c r="F15" s="4">
        <f>Bull!F10</f>
        <v>0.39500000000000002</v>
      </c>
      <c r="G15" s="4">
        <f>Bull!G10</f>
        <v>0.36</v>
      </c>
      <c r="H15" s="4">
        <f>Bull!H10</f>
        <v>0.32750000000000001</v>
      </c>
      <c r="I15" s="4">
        <f>Bull!I10</f>
        <v>0.3</v>
      </c>
      <c r="J15" s="4">
        <f>Bull!J10</f>
        <v>0.27250000000000002</v>
      </c>
      <c r="K15" s="4">
        <f>Bull!K10</f>
        <v>0.25</v>
      </c>
    </row>
    <row r="16" spans="1:11" x14ac:dyDescent="0.35">
      <c r="A16" s="2" t="s">
        <v>121</v>
      </c>
      <c r="B16" s="5">
        <f>B14*(B15-Bull!B11)</f>
        <v>2411.2702724750002</v>
      </c>
      <c r="C16" s="5">
        <f>C14*(C15-Bull!C11)</f>
        <v>3978.3609969518379</v>
      </c>
      <c r="D16" s="5">
        <f>D14*(D15-Bull!D11)</f>
        <v>6288.8509169578774</v>
      </c>
      <c r="E16" s="5">
        <f>E14*(E15-Bull!E11)</f>
        <v>9708.057117365548</v>
      </c>
      <c r="F16" s="5">
        <f>F14*(F15-Bull!F11)</f>
        <v>14588.143525751393</v>
      </c>
      <c r="G16" s="5">
        <f>G14*(G15-Bull!G11)</f>
        <v>19411.640826017421</v>
      </c>
      <c r="H16" s="5">
        <f>H14*(H15-Bull!H11)</f>
        <v>23799.364607930373</v>
      </c>
      <c r="I16" s="5">
        <f>I14*(I15-Bull!I11)</f>
        <v>26960.430252857313</v>
      </c>
      <c r="J16" s="5">
        <f>J14*(J15-Bull!J11)</f>
        <v>27482.414919720974</v>
      </c>
      <c r="K16" s="5">
        <f>K14*(K15-Bull!K11)</f>
        <v>25507.305100215752</v>
      </c>
    </row>
    <row r="17" spans="1:11" x14ac:dyDescent="0.35">
      <c r="A17" s="2" t="s">
        <v>123</v>
      </c>
      <c r="B17" s="5">
        <f>B16*(1-Bull!B12)</f>
        <v>1929.0162179800002</v>
      </c>
      <c r="C17" s="5">
        <f>C16*(1-Bull!C12)</f>
        <v>3182.6887975614704</v>
      </c>
      <c r="D17" s="5">
        <f>D16*(1-Bull!D12)</f>
        <v>5031.0807335663021</v>
      </c>
      <c r="E17" s="5">
        <f>E16*(1-Bull!E12)</f>
        <v>7766.4456938924386</v>
      </c>
      <c r="F17" s="5">
        <f>F16*(1-Bull!F12)</f>
        <v>11670.514820601114</v>
      </c>
      <c r="G17" s="5">
        <f>G16*(1-Bull!G12)</f>
        <v>15529.312660813937</v>
      </c>
      <c r="H17" s="5">
        <f>H16*(1-Bull!H12)</f>
        <v>19039.4916863443</v>
      </c>
      <c r="I17" s="5">
        <f>I16*(1-Bull!I12)</f>
        <v>21568.344202285851</v>
      </c>
      <c r="J17" s="5">
        <f>J16*(1-Bull!J12)</f>
        <v>21985.931935776782</v>
      </c>
      <c r="K17" s="5">
        <f>K16*(1-Bull!K12)</f>
        <v>20405.844080172603</v>
      </c>
    </row>
    <row r="18" spans="1:11" x14ac:dyDescent="0.35">
      <c r="A18" s="2" t="s">
        <v>251</v>
      </c>
      <c r="B18" s="5">
        <f>B14*Bull!B13</f>
        <v>266.07120248000001</v>
      </c>
      <c r="C18" s="5">
        <f>C14*Bull!C13</f>
        <v>471.12169700745449</v>
      </c>
      <c r="D18" s="5">
        <f>D14*Bull!D13</f>
        <v>827.48038381024708</v>
      </c>
      <c r="E18" s="5">
        <f>E14*Bull!E13</f>
        <v>1443.0895715002839</v>
      </c>
      <c r="F18" s="5">
        <f>F14*Bull!F13</f>
        <v>2292.4225540466473</v>
      </c>
      <c r="G18" s="5">
        <f>G14*Bull!G13</f>
        <v>3389.3341124792319</v>
      </c>
      <c r="H18" s="5">
        <f>H14*Bull!H13</f>
        <v>4633.5046139333463</v>
      </c>
      <c r="I18" s="5">
        <f>I14*Bull!I13</f>
        <v>5814.9947604202052</v>
      </c>
      <c r="J18" s="5">
        <f>J14*Bull!J13</f>
        <v>6644.1003102622126</v>
      </c>
      <c r="K18" s="5">
        <f>K14*Bull!K13</f>
        <v>6843.423319570079</v>
      </c>
    </row>
    <row r="19" spans="1:11" x14ac:dyDescent="0.35">
      <c r="A19" s="2" t="s">
        <v>214</v>
      </c>
      <c r="B19" s="5">
        <f>B14*Bull!B14</f>
        <v>864.73140806000004</v>
      </c>
      <c r="C19" s="5">
        <f>C14*Bull!C14</f>
        <v>1151.630814907111</v>
      </c>
      <c r="D19" s="5">
        <f>D14*Bull!D14</f>
        <v>1572.2127292394694</v>
      </c>
      <c r="E19" s="5">
        <f>E14*Bull!E14</f>
        <v>2099.039376727686</v>
      </c>
      <c r="F19" s="5">
        <f>F14*Bull!F14</f>
        <v>3126.0307555181553</v>
      </c>
      <c r="G19" s="5">
        <f>G14*Bull!G14</f>
        <v>4313.697961337205</v>
      </c>
      <c r="H19" s="5">
        <f>H14*Bull!H14</f>
        <v>5475.959998284864</v>
      </c>
      <c r="I19" s="5">
        <f>I14*Bull!I14</f>
        <v>6343.6306477311327</v>
      </c>
      <c r="J19" s="5">
        <f>J14*Bull!J14</f>
        <v>7248.1094293769584</v>
      </c>
      <c r="K19" s="5">
        <f>K14*Bull!K14</f>
        <v>7465.552712258268</v>
      </c>
    </row>
    <row r="20" spans="1:11" x14ac:dyDescent="0.35">
      <c r="A20" s="2" t="s">
        <v>218</v>
      </c>
      <c r="B20" s="5">
        <f>B14*Bull!B15</f>
        <v>1197.3204111599998</v>
      </c>
      <c r="C20" s="5">
        <f>C14*Bull!C15</f>
        <v>1884.4867880298179</v>
      </c>
      <c r="D20" s="5">
        <f>D14*Bull!D15</f>
        <v>2978.9293817168896</v>
      </c>
      <c r="E20" s="5">
        <f>E14*Bull!E15</f>
        <v>4722.8385976372929</v>
      </c>
      <c r="F20" s="5">
        <f>F14*Bull!F15</f>
        <v>7502.4738132435723</v>
      </c>
      <c r="G20" s="5">
        <f>G14*Bull!G15</f>
        <v>11092.366186295669</v>
      </c>
      <c r="H20" s="5">
        <f>H14*Bull!H15</f>
        <v>15164.196918327316</v>
      </c>
      <c r="I20" s="5">
        <f>I14*Bull!I15</f>
        <v>19030.891943193397</v>
      </c>
      <c r="J20" s="5">
        <f>J14*Bull!J15</f>
        <v>21744.328288130877</v>
      </c>
      <c r="K20" s="5">
        <f>K14*Bull!K15</f>
        <v>22396.658136774804</v>
      </c>
    </row>
    <row r="21" spans="1:11" x14ac:dyDescent="0.35">
      <c r="A21" s="2" t="s">
        <v>252</v>
      </c>
      <c r="B21" s="5">
        <f>B20-Capital!$B$21</f>
        <v>643.92041115999984</v>
      </c>
      <c r="C21" s="5">
        <f t="shared" ref="C21:K21" si="2">C20-B20</f>
        <v>687.16637686981812</v>
      </c>
      <c r="D21" s="5">
        <f t="shared" si="2"/>
        <v>1094.4425936870716</v>
      </c>
      <c r="E21" s="5">
        <f t="shared" si="2"/>
        <v>1743.9092159204033</v>
      </c>
      <c r="F21" s="5">
        <f t="shared" si="2"/>
        <v>2779.6352156062794</v>
      </c>
      <c r="G21" s="5">
        <f t="shared" si="2"/>
        <v>3589.8923730520964</v>
      </c>
      <c r="H21" s="5">
        <f t="shared" si="2"/>
        <v>4071.8307320316471</v>
      </c>
      <c r="I21" s="5">
        <f t="shared" si="2"/>
        <v>3866.6950248660814</v>
      </c>
      <c r="J21" s="5">
        <f t="shared" si="2"/>
        <v>2713.4363449374796</v>
      </c>
      <c r="K21" s="5">
        <f t="shared" si="2"/>
        <v>652.32984864392711</v>
      </c>
    </row>
    <row r="22" spans="1:11" x14ac:dyDescent="0.35">
      <c r="A22" s="2" t="s">
        <v>253</v>
      </c>
      <c r="B22" s="5">
        <f t="shared" ref="B22:K22" si="3">B17+B18-B19-B21</f>
        <v>686.43560124000066</v>
      </c>
      <c r="C22" s="5">
        <f t="shared" si="3"/>
        <v>1815.0133027919956</v>
      </c>
      <c r="D22" s="5">
        <f t="shared" si="3"/>
        <v>3191.9057944500078</v>
      </c>
      <c r="E22" s="5">
        <f t="shared" si="3"/>
        <v>5366.5866727446337</v>
      </c>
      <c r="F22" s="5">
        <f t="shared" si="3"/>
        <v>8057.2714035233266</v>
      </c>
      <c r="G22" s="5">
        <f t="shared" si="3"/>
        <v>11015.056438903868</v>
      </c>
      <c r="H22" s="5">
        <f t="shared" si="3"/>
        <v>14125.205569961136</v>
      </c>
      <c r="I22" s="5">
        <f t="shared" si="3"/>
        <v>17173.013290108844</v>
      </c>
      <c r="J22" s="5">
        <f t="shared" si="3"/>
        <v>18668.486471724558</v>
      </c>
      <c r="K22" s="5">
        <f t="shared" si="3"/>
        <v>19131.384838840488</v>
      </c>
    </row>
    <row r="23" spans="1:11" x14ac:dyDescent="0.35">
      <c r="A23" s="2" t="s">
        <v>134</v>
      </c>
      <c r="B23" s="5">
        <f>B22*Bull!B36*Bull!B38</f>
        <v>477.83729960505104</v>
      </c>
      <c r="C23" s="5">
        <f>C22*Bull!C36*Bull!C38</f>
        <v>1439.9258391403905</v>
      </c>
      <c r="D23" s="5">
        <f>D22*Bull!D36*Bull!D38</f>
        <v>2221.7945548837301</v>
      </c>
      <c r="E23" s="5">
        <f>E22*Bull!E36*Bull!E38</f>
        <v>3277.5211358845854</v>
      </c>
      <c r="F23" s="5">
        <f>F22*Bull!F36*Bull!F38</f>
        <v>4317.4654047590966</v>
      </c>
      <c r="G23" s="5">
        <f>G22*Bull!G36*Bull!G38</f>
        <v>5178.7043798319028</v>
      </c>
      <c r="H23" s="5">
        <f>H22*Bull!H36*Bull!H38</f>
        <v>5826.7004430103798</v>
      </c>
      <c r="I23" s="5">
        <f>I22*Bull!I36*Bull!I38</f>
        <v>6215.3836415812029</v>
      </c>
      <c r="J23" s="5">
        <f>J22*Bull!J36*Bull!J38</f>
        <v>5928.2166131776385</v>
      </c>
      <c r="K23" s="5">
        <f>K22*Bull!K36*Bull!K38</f>
        <v>5330.3396458188045</v>
      </c>
    </row>
    <row r="26" spans="1:11" x14ac:dyDescent="0.35">
      <c r="A26" s="2" t="s">
        <v>254</v>
      </c>
      <c r="B26" s="5">
        <f>SUM(B23:K23)+((K14*(1+WACC!B30))*((K15-Bull!K11)*(1-Bull!K12)+Bull!K13-Bull!K14)-((K14*(1+WACC!B30))*Bull!K15-K20))/(WACC!B26-WACC!B30)*Bull!K38</f>
        <v>90242.678250697209</v>
      </c>
    </row>
    <row r="27" spans="1:11" ht="15.5" x14ac:dyDescent="0.35">
      <c r="A27" s="2" t="s">
        <v>255</v>
      </c>
      <c r="B27" s="3">
        <f>IF((((B26)+Capital!$B$32-Capital!$B$19-Capital!$B$20-(Capital!$B$27+Capital!$B$25+Capital!$B$26+Capital!$B$28))/(Capital!$B$18+0))&lt;Capital!$C$27,(((B26)+Capital!$B$32-Capital!$B$19-Capital!$B$20-(Capital!$B$27+Capital!$B$25+Capital!$B$26+Capital!$B$28))/(Capital!$B$18+0)),(IF((((B26)+Capital!$B$32-Capital!$B$19-Capital!$B$20-(Capital!$B$25+Capital!$B$26+Capital!$B$28))/(Capital!$B$18+Capital!$D$27))&lt;Capital!$C$25,(((B26)+Capital!$B$32-Capital!$B$19-Capital!$B$20-(Capital!$B$25+Capital!$B$26+Capital!$B$28))/(Capital!$B$18+Capital!$D$27)),(IF((((B26)+Capital!$B$32-Capital!$B$19-Capital!$B$20-(Capital!$B$26+Capital!$B$28))/(Capital!$B$18+Capital!$D$27+Capital!$D$25))&lt;Capital!$C$26,(((B26)+Capital!$B$32-Capital!$B$19-Capital!$B$20-(Capital!$B$26+Capital!$B$28))/(Capital!$B$18+Capital!$D$27+Capital!$D$25)),(IF((((B26)+Capital!$B$32-Capital!$B$19-Capital!$B$20-(Capital!$B$28))/(Capital!$B$18+Capital!$D$27+Capital!$D$25+Capital!$D$26))&lt;Capital!$C$28,(((B26)+Capital!$B$32-Capital!$B$19-Capital!$B$20-(Capital!$B$28))/(Capital!$B$18+Capital!$D$27+Capital!$D$25+Capital!$D$26)),(((B26)+Capital!$B$32-Capital!$B$19-Capital!$B$20-(0))/(Capital!$B$18+Capital!$D$27+Capital!$D$25+Capital!$D$26+Capital!$D$28)))))))))</f>
        <v>893.6099999999999</v>
      </c>
    </row>
    <row r="28" spans="1:11" x14ac:dyDescent="0.35">
      <c r="A28" s="2" t="s">
        <v>256</v>
      </c>
      <c r="B28" s="5">
        <f>B27-Capital!B16</f>
        <v>0</v>
      </c>
    </row>
    <row r="35" spans="1:11" ht="24" customHeight="1" x14ac:dyDescent="0.35">
      <c r="A35" s="11" t="s">
        <v>257</v>
      </c>
      <c r="B35" s="11"/>
      <c r="C35" s="11"/>
      <c r="D35" s="11"/>
      <c r="E35" s="11"/>
      <c r="F35" s="11"/>
      <c r="G35" s="11"/>
      <c r="H35" s="11"/>
      <c r="I35" s="11"/>
      <c r="J35" s="11"/>
      <c r="K35" s="11"/>
    </row>
    <row r="36" spans="1:11" x14ac:dyDescent="0.35">
      <c r="B36" s="1" t="s">
        <v>76</v>
      </c>
      <c r="C36" s="1" t="s">
        <v>77</v>
      </c>
      <c r="D36" s="1" t="s">
        <v>78</v>
      </c>
      <c r="E36" s="1" t="s">
        <v>79</v>
      </c>
      <c r="F36" s="1" t="s">
        <v>80</v>
      </c>
      <c r="G36" s="1" t="s">
        <v>81</v>
      </c>
      <c r="H36" s="1" t="s">
        <v>82</v>
      </c>
      <c r="I36" s="1" t="s">
        <v>83</v>
      </c>
      <c r="J36" s="1" t="s">
        <v>84</v>
      </c>
      <c r="K36" s="1" t="s">
        <v>85</v>
      </c>
    </row>
    <row r="37" spans="1:11" x14ac:dyDescent="0.35">
      <c r="A37" s="2" t="s">
        <v>247</v>
      </c>
      <c r="B37" s="4">
        <f>Bull!B8</f>
        <v>1.3088539252697711</v>
      </c>
      <c r="C37" s="4">
        <f>Bull!C8</f>
        <v>0.57307623095794424</v>
      </c>
      <c r="D37" s="4">
        <f>Bull!D8</f>
        <v>0.34100962198721502</v>
      </c>
      <c r="E37" s="4">
        <f>Bull!E8</f>
        <v>0.24432724616028539</v>
      </c>
      <c r="F37" s="4">
        <f>Bull!F8</f>
        <v>0.17276340426758899</v>
      </c>
      <c r="G37" s="4">
        <f>Bull!G8</f>
        <v>0.12217940554550009</v>
      </c>
      <c r="H37" s="4">
        <f>Bull!H8</f>
        <v>8.0749953295922383E-2</v>
      </c>
      <c r="I37" s="4">
        <f>Bull!I8</f>
        <v>5.9339377611960398E-2</v>
      </c>
      <c r="J37" s="4">
        <f>Bull!J8</f>
        <v>3.9842761493799062E-2</v>
      </c>
      <c r="K37" s="4">
        <f>Bull!K8</f>
        <v>2.0728646252460511E-2</v>
      </c>
    </row>
    <row r="38" spans="1:11" x14ac:dyDescent="0.35">
      <c r="A38" s="2" t="s">
        <v>248</v>
      </c>
      <c r="B38" s="5">
        <f>Bull!B18</f>
        <v>6391.1154619999998</v>
      </c>
      <c r="C38" s="5">
        <f>Bull!C18</f>
        <v>10053.71182258</v>
      </c>
      <c r="D38" s="5">
        <f>Bull!D18</f>
        <v>13482.1242907664</v>
      </c>
      <c r="E38" s="5">
        <f>Bull!E18</f>
        <v>16776.174591120045</v>
      </c>
      <c r="F38" s="5">
        <f>Bull!F18</f>
        <v>19674.483624069373</v>
      </c>
      <c r="G38" s="5">
        <f>Bull!G18</f>
        <v>22078.300337672845</v>
      </c>
      <c r="H38" s="5">
        <f>Bull!H18</f>
        <v>23861.122058793277</v>
      </c>
      <c r="I38" s="5">
        <f>Bull!I18</f>
        <v>25277.026190885088</v>
      </c>
      <c r="J38" s="5">
        <f>Bull!J18</f>
        <v>26284.132716681037</v>
      </c>
      <c r="K38" s="5">
        <f>Bull!K18</f>
        <v>26828.96720581784</v>
      </c>
    </row>
    <row r="39" spans="1:11" x14ac:dyDescent="0.35">
      <c r="A39" s="2" t="s">
        <v>249</v>
      </c>
      <c r="B39" s="5">
        <f>Bull!B19</f>
        <v>260.66460000000001</v>
      </c>
      <c r="C39" s="5">
        <f>Bull!C19</f>
        <v>276.30447600000002</v>
      </c>
      <c r="D39" s="5">
        <f>Bull!D19</f>
        <v>292.88274455999999</v>
      </c>
      <c r="E39" s="5">
        <f>Bull!E19</f>
        <v>310.45570923360009</v>
      </c>
      <c r="F39" s="5">
        <f>Bull!F19</f>
        <v>329.08305178761606</v>
      </c>
      <c r="G39" s="5">
        <f>Bull!G19</f>
        <v>345.5372043769969</v>
      </c>
      <c r="H39" s="5">
        <f>Bull!H19</f>
        <v>359.35869255207677</v>
      </c>
      <c r="I39" s="5">
        <f>Bull!I19</f>
        <v>370.13945332863909</v>
      </c>
      <c r="J39" s="5">
        <f>Bull!J19</f>
        <v>381.24363692849829</v>
      </c>
      <c r="K39" s="5">
        <f>Bull!K19</f>
        <v>392.68094603635325</v>
      </c>
    </row>
    <row r="40" spans="1:11" x14ac:dyDescent="0.35">
      <c r="A40" s="2" t="s">
        <v>117</v>
      </c>
      <c r="B40" s="5">
        <f t="shared" ref="B40:K40" si="4">B38+B39</f>
        <v>6651.7800619999998</v>
      </c>
      <c r="C40" s="5">
        <f t="shared" si="4"/>
        <v>10330.01629858</v>
      </c>
      <c r="D40" s="5">
        <f t="shared" si="4"/>
        <v>13775.0070353264</v>
      </c>
      <c r="E40" s="5">
        <f t="shared" si="4"/>
        <v>17086.630300353645</v>
      </c>
      <c r="F40" s="5">
        <f t="shared" si="4"/>
        <v>20003.56667585699</v>
      </c>
      <c r="G40" s="5">
        <f t="shared" si="4"/>
        <v>22423.837542049841</v>
      </c>
      <c r="H40" s="5">
        <f t="shared" si="4"/>
        <v>24220.480751345352</v>
      </c>
      <c r="I40" s="5">
        <f t="shared" si="4"/>
        <v>25647.165644213728</v>
      </c>
      <c r="J40" s="5">
        <f t="shared" si="4"/>
        <v>26665.376353609536</v>
      </c>
      <c r="K40" s="5">
        <f t="shared" si="4"/>
        <v>27221.648151854195</v>
      </c>
    </row>
    <row r="41" spans="1:11" x14ac:dyDescent="0.35">
      <c r="A41" s="2" t="s">
        <v>250</v>
      </c>
      <c r="B41" s="4">
        <f>Bull!B10</f>
        <v>0.40750000000000003</v>
      </c>
      <c r="C41" s="4">
        <f>$B$6</f>
        <v>1.714433706548695</v>
      </c>
      <c r="D41" s="4">
        <f>$B$6</f>
        <v>1.714433706548695</v>
      </c>
      <c r="E41" s="4">
        <f>$B$6</f>
        <v>1.714433706548695</v>
      </c>
      <c r="F41" s="4">
        <f>$B$6</f>
        <v>1.714433706548695</v>
      </c>
      <c r="G41" s="4">
        <f>$B$6+(Bull!$K$10-$B$6)*1/5</f>
        <v>1.4215469652389561</v>
      </c>
      <c r="H41" s="4">
        <f>$B$6+(Bull!$K$10-$B$6)*2/5</f>
        <v>1.1286602239292169</v>
      </c>
      <c r="I41" s="4">
        <f>$B$6+(Bull!$K$10-$B$6)*3/5</f>
        <v>0.83577348261947793</v>
      </c>
      <c r="J41" s="4">
        <f>$B$6+(Bull!$K$10-$B$6)*4/5</f>
        <v>0.54288674130973891</v>
      </c>
      <c r="K41" s="4">
        <f>$B$6+(Bull!$K$10-$B$6)*5/5</f>
        <v>0.25</v>
      </c>
    </row>
    <row r="42" spans="1:11" x14ac:dyDescent="0.35">
      <c r="A42" s="2" t="s">
        <v>121</v>
      </c>
      <c r="B42" s="5">
        <f>B40*(B41-Bull!B11)</f>
        <v>2411.2702724750002</v>
      </c>
      <c r="C42" s="5">
        <f>C40*(C41-Bull!C11)</f>
        <v>17245.277398046841</v>
      </c>
      <c r="D42" s="5">
        <f>D40*(D41-Bull!D11)</f>
        <v>22996.461052719304</v>
      </c>
      <c r="E42" s="5">
        <f>E40*(E41-Bull!E11)</f>
        <v>28524.996554746627</v>
      </c>
      <c r="F42" s="5">
        <f>F40*(F41-Bull!F11)</f>
        <v>33394.628459869891</v>
      </c>
      <c r="G42" s="5">
        <f>G40*(G41-Bull!G11)</f>
        <v>30867.465517520082</v>
      </c>
      <c r="H42" s="5">
        <f>H40*(H41-Bull!H11)</f>
        <v>26246.771594676196</v>
      </c>
      <c r="I42" s="5">
        <f>I40*(I41-Bull!I11)</f>
        <v>20281.098495793514</v>
      </c>
      <c r="J42" s="5">
        <f>J40*(J41-Bull!J11)</f>
        <v>13276.33733849642</v>
      </c>
      <c r="K42" s="5">
        <f>K40*(K41-Bull!K11)</f>
        <v>5580.4378711301106</v>
      </c>
    </row>
    <row r="43" spans="1:11" x14ac:dyDescent="0.35">
      <c r="A43" s="2" t="s">
        <v>123</v>
      </c>
      <c r="B43" s="5">
        <f>B42*(1-Bull!B12)</f>
        <v>1929.0162179800002</v>
      </c>
      <c r="C43" s="5">
        <f>C42*(1-Bull!C12)</f>
        <v>13796.221918437474</v>
      </c>
      <c r="D43" s="5">
        <f>D42*(1-Bull!D12)</f>
        <v>18397.168842175444</v>
      </c>
      <c r="E43" s="5">
        <f>E42*(1-Bull!E12)</f>
        <v>22819.997243797305</v>
      </c>
      <c r="F43" s="5">
        <f>F42*(1-Bull!F12)</f>
        <v>26715.702767895913</v>
      </c>
      <c r="G43" s="5">
        <f>G42*(1-Bull!G12)</f>
        <v>24693.972414016069</v>
      </c>
      <c r="H43" s="5">
        <f>H42*(1-Bull!H12)</f>
        <v>20997.417275740958</v>
      </c>
      <c r="I43" s="5">
        <f>I42*(1-Bull!I12)</f>
        <v>16224.878796634812</v>
      </c>
      <c r="J43" s="5">
        <f>J42*(1-Bull!J12)</f>
        <v>10621.069870797137</v>
      </c>
      <c r="K43" s="5">
        <f>K42*(1-Bull!K12)</f>
        <v>4464.3502969040883</v>
      </c>
    </row>
    <row r="44" spans="1:11" x14ac:dyDescent="0.35">
      <c r="A44" s="2" t="s">
        <v>251</v>
      </c>
      <c r="B44" s="5">
        <f>B40*Bull!B13</f>
        <v>266.07120248000001</v>
      </c>
      <c r="C44" s="5">
        <f>C40*Bull!C13</f>
        <v>464.85073343609997</v>
      </c>
      <c r="D44" s="5">
        <f>D40*Bull!D13</f>
        <v>688.75035176632002</v>
      </c>
      <c r="E44" s="5">
        <f>E40*Bull!E13</f>
        <v>939.76466651945043</v>
      </c>
      <c r="F44" s="5">
        <f>F40*Bull!F13</f>
        <v>1100.1961671721344</v>
      </c>
      <c r="G44" s="5">
        <f>G40*Bull!G13</f>
        <v>1233.3110648127413</v>
      </c>
      <c r="H44" s="5">
        <f>H40*Bull!H13</f>
        <v>1332.1264413239944</v>
      </c>
      <c r="I44" s="5">
        <f>I40*Bull!I13</f>
        <v>1410.5941104317551</v>
      </c>
      <c r="J44" s="5">
        <f>J40*Bull!J13</f>
        <v>1466.5956994485246</v>
      </c>
      <c r="K44" s="5">
        <f>K40*Bull!K13</f>
        <v>1497.1906483519808</v>
      </c>
    </row>
    <row r="45" spans="1:11" x14ac:dyDescent="0.35">
      <c r="A45" s="2" t="s">
        <v>214</v>
      </c>
      <c r="B45" s="5">
        <f>B40*Bull!B14</f>
        <v>864.73140806000004</v>
      </c>
      <c r="C45" s="5">
        <f>C40*Bull!C14</f>
        <v>1136.3017928438001</v>
      </c>
      <c r="D45" s="5">
        <f>D40*Bull!D14</f>
        <v>1308.625668356008</v>
      </c>
      <c r="E45" s="5">
        <f>E40*Bull!E14</f>
        <v>1366.9304240282916</v>
      </c>
      <c r="F45" s="5">
        <f>F40*Bull!F14</f>
        <v>1500.2675006892741</v>
      </c>
      <c r="G45" s="5">
        <f>G40*Bull!G14</f>
        <v>1569.6686279434891</v>
      </c>
      <c r="H45" s="5">
        <f>H40*Bull!H14</f>
        <v>1574.3312488374479</v>
      </c>
      <c r="I45" s="5">
        <f>I40*Bull!I14</f>
        <v>1538.8299386528236</v>
      </c>
      <c r="J45" s="5">
        <f>J40*Bull!J14</f>
        <v>1599.9225812165721</v>
      </c>
      <c r="K45" s="5">
        <f>K40*Bull!K14</f>
        <v>1633.2988891112516</v>
      </c>
    </row>
    <row r="46" spans="1:11" x14ac:dyDescent="0.35">
      <c r="A46" s="2" t="s">
        <v>218</v>
      </c>
      <c r="B46" s="5">
        <f>B40*Bull!B15</f>
        <v>1197.3204111599998</v>
      </c>
      <c r="C46" s="5">
        <f>C40*Bull!C15</f>
        <v>1859.4029337443999</v>
      </c>
      <c r="D46" s="5">
        <f>D40*Bull!D15</f>
        <v>2479.5012663587518</v>
      </c>
      <c r="E46" s="5">
        <f>E40*Bull!E15</f>
        <v>3075.5934540636558</v>
      </c>
      <c r="F46" s="5">
        <f>F40*Bull!F15</f>
        <v>3600.6420016542579</v>
      </c>
      <c r="G46" s="5">
        <f>G40*Bull!G15</f>
        <v>4036.2907575689715</v>
      </c>
      <c r="H46" s="5">
        <f>H40*Bull!H15</f>
        <v>4359.6865352421637</v>
      </c>
      <c r="I46" s="5">
        <f>I40*Bull!I15</f>
        <v>4616.4898159584709</v>
      </c>
      <c r="J46" s="5">
        <f>J40*Bull!J15</f>
        <v>4799.7677436497161</v>
      </c>
      <c r="K46" s="5">
        <f>K40*Bull!K15</f>
        <v>4899.8966673337545</v>
      </c>
    </row>
    <row r="47" spans="1:11" x14ac:dyDescent="0.35">
      <c r="A47" s="2" t="s">
        <v>252</v>
      </c>
      <c r="B47" s="5">
        <f>B46-Capital!$B$21</f>
        <v>643.92041115999984</v>
      </c>
      <c r="C47" s="5">
        <f t="shared" ref="C47:K47" si="5">C46-B46</f>
        <v>662.08252258440007</v>
      </c>
      <c r="D47" s="5">
        <f t="shared" si="5"/>
        <v>620.09833261435188</v>
      </c>
      <c r="E47" s="5">
        <f t="shared" si="5"/>
        <v>596.09218770490406</v>
      </c>
      <c r="F47" s="5">
        <f t="shared" si="5"/>
        <v>525.04854759060208</v>
      </c>
      <c r="G47" s="5">
        <f t="shared" si="5"/>
        <v>435.64875591471355</v>
      </c>
      <c r="H47" s="5">
        <f t="shared" si="5"/>
        <v>323.39577767319224</v>
      </c>
      <c r="I47" s="5">
        <f t="shared" si="5"/>
        <v>256.8032807163072</v>
      </c>
      <c r="J47" s="5">
        <f t="shared" si="5"/>
        <v>183.27792769124517</v>
      </c>
      <c r="K47" s="5">
        <f t="shared" si="5"/>
        <v>100.12892368403845</v>
      </c>
    </row>
    <row r="48" spans="1:11" x14ac:dyDescent="0.35">
      <c r="A48" s="2" t="s">
        <v>253</v>
      </c>
      <c r="B48" s="5">
        <f t="shared" ref="B48:K48" si="6">B43+B44-B45-B47</f>
        <v>686.43560124000066</v>
      </c>
      <c r="C48" s="5">
        <f t="shared" si="6"/>
        <v>12462.688336445373</v>
      </c>
      <c r="D48" s="5">
        <f t="shared" si="6"/>
        <v>17157.195192971405</v>
      </c>
      <c r="E48" s="5">
        <f t="shared" si="6"/>
        <v>21796.739298583561</v>
      </c>
      <c r="F48" s="5">
        <f t="shared" si="6"/>
        <v>25790.582886788168</v>
      </c>
      <c r="G48" s="5">
        <f t="shared" si="6"/>
        <v>23921.966094970605</v>
      </c>
      <c r="H48" s="5">
        <f t="shared" si="6"/>
        <v>20431.816690554315</v>
      </c>
      <c r="I48" s="5">
        <f t="shared" si="6"/>
        <v>15839.839687697437</v>
      </c>
      <c r="J48" s="5">
        <f t="shared" si="6"/>
        <v>10304.465061337844</v>
      </c>
      <c r="K48" s="5">
        <f t="shared" si="6"/>
        <v>4228.1131324607786</v>
      </c>
    </row>
    <row r="49" spans="1:11" x14ac:dyDescent="0.35">
      <c r="A49" s="2" t="s">
        <v>134</v>
      </c>
      <c r="B49" s="5">
        <f>B48*Bull!B36*Bull!B38</f>
        <v>477.83729960505104</v>
      </c>
      <c r="C49" s="5">
        <f>C48*Bull!C36*Bull!C38</f>
        <v>9887.1710379181932</v>
      </c>
      <c r="D49" s="5">
        <f>D48*Bull!D36*Bull!D38</f>
        <v>11942.634059909507</v>
      </c>
      <c r="E49" s="5">
        <f>E48*Bull!E36*Bull!E38</f>
        <v>13311.864337772371</v>
      </c>
      <c r="F49" s="5">
        <f>F48*Bull!F36*Bull!F38</f>
        <v>13819.808692752762</v>
      </c>
      <c r="G49" s="5">
        <f>G48*Bull!G36*Bull!G38</f>
        <v>11246.859358129863</v>
      </c>
      <c r="H49" s="5">
        <f>H48*Bull!H36*Bull!H38</f>
        <v>8428.2012585737721</v>
      </c>
      <c r="I49" s="5">
        <f>I48*Bull!I36*Bull!I38</f>
        <v>5732.8716176378948</v>
      </c>
      <c r="J49" s="5">
        <f>J48*Bull!J36*Bull!J38</f>
        <v>3272.2042603215082</v>
      </c>
      <c r="K49" s="5">
        <f>K48*Bull!K36*Bull!K38</f>
        <v>1178.0265384243223</v>
      </c>
    </row>
    <row r="52" spans="1:11" x14ac:dyDescent="0.35">
      <c r="A52" s="2" t="s">
        <v>254</v>
      </c>
      <c r="B52" s="5">
        <f>SUM(B49:K49)+((K40*(1+WACC!B30))*((K41-Bull!K11)*(1-Bull!K12)+Bull!K13-Bull!K14)-((K40*(1+WACC!B30))*Bull!K15-K46))/(WACC!B26-WACC!B30)*Bull!K38</f>
        <v>90242.678250697238</v>
      </c>
    </row>
    <row r="53" spans="1:11" ht="15.5" x14ac:dyDescent="0.35">
      <c r="A53" s="2" t="s">
        <v>255</v>
      </c>
      <c r="B53" s="3">
        <f>IF((((B52)+Capital!$B$32-Capital!$B$19-Capital!$B$20-(Capital!$B$27+Capital!$B$25+Capital!$B$26+Capital!$B$28))/(Capital!$B$18+0))&lt;Capital!$C$27,(((B52)+Capital!$B$32-Capital!$B$19-Capital!$B$20-(Capital!$B$27+Capital!$B$25+Capital!$B$26+Capital!$B$28))/(Capital!$B$18+0)),(IF((((B52)+Capital!$B$32-Capital!$B$19-Capital!$B$20-(Capital!$B$25+Capital!$B$26+Capital!$B$28))/(Capital!$B$18+Capital!$D$27))&lt;Capital!$C$25,(((B52)+Capital!$B$32-Capital!$B$19-Capital!$B$20-(Capital!$B$25+Capital!$B$26+Capital!$B$28))/(Capital!$B$18+Capital!$D$27)),(IF((((B52)+Capital!$B$32-Capital!$B$19-Capital!$B$20-(Capital!$B$26+Capital!$B$28))/(Capital!$B$18+Capital!$D$27+Capital!$D$25))&lt;Capital!$C$26,(((B52)+Capital!$B$32-Capital!$B$19-Capital!$B$20-(Capital!$B$26+Capital!$B$28))/(Capital!$B$18+Capital!$D$27+Capital!$D$25)),(IF((((B52)+Capital!$B$32-Capital!$B$19-Capital!$B$20-(Capital!$B$28))/(Capital!$B$18+Capital!$D$27+Capital!$D$25+Capital!$D$26))&lt;Capital!$C$28,(((B52)+Capital!$B$32-Capital!$B$19-Capital!$B$20-(Capital!$B$28))/(Capital!$B$18+Capital!$D$27+Capital!$D$25+Capital!$D$26)),(((B52)+Capital!$B$32-Capital!$B$19-Capital!$B$20-(0))/(Capital!$B$18+Capital!$D$27+Capital!$D$25+Capital!$D$26+Capital!$D$28)))))))))</f>
        <v>893.61000000000024</v>
      </c>
    </row>
    <row r="54" spans="1:11" x14ac:dyDescent="0.35">
      <c r="A54" s="2" t="s">
        <v>256</v>
      </c>
      <c r="B54" s="5">
        <f>B53-Capital!B16</f>
        <v>0</v>
      </c>
    </row>
    <row r="60" spans="1:11" ht="56" customHeight="1" x14ac:dyDescent="0.35">
      <c r="A60" s="12" t="s">
        <v>258</v>
      </c>
      <c r="B60" s="12"/>
      <c r="C60" s="12"/>
      <c r="D60" s="12"/>
      <c r="E60" s="12"/>
      <c r="F60" s="12"/>
      <c r="G60" s="12"/>
      <c r="H60" s="12"/>
      <c r="I60" s="12"/>
      <c r="J60" s="12"/>
      <c r="K60" s="12"/>
    </row>
    <row r="62" spans="1:11" ht="49" customHeight="1" x14ac:dyDescent="0.35">
      <c r="A62" s="10" t="s">
        <v>259</v>
      </c>
      <c r="B62" s="10"/>
      <c r="C62" s="10"/>
      <c r="D62" s="10"/>
      <c r="E62" s="10"/>
      <c r="F62" s="10"/>
      <c r="G62" s="10"/>
      <c r="H62" s="10"/>
      <c r="I62" s="10"/>
      <c r="J62" s="10"/>
      <c r="K62" s="10"/>
    </row>
    <row r="64" spans="1:11" ht="24" customHeight="1" x14ac:dyDescent="0.35">
      <c r="A64" s="11" t="s">
        <v>260</v>
      </c>
      <c r="B64" s="11"/>
      <c r="C64" s="11"/>
      <c r="D64" s="11"/>
      <c r="E64" s="11"/>
      <c r="F64" s="11"/>
      <c r="G64" s="11"/>
      <c r="H64" s="11"/>
      <c r="I64" s="11"/>
      <c r="J64" s="11"/>
      <c r="K64" s="11"/>
    </row>
    <row r="65" spans="1:11" ht="58" customHeight="1" x14ac:dyDescent="0.35">
      <c r="A65" s="10" t="s">
        <v>261</v>
      </c>
      <c r="B65" s="10"/>
      <c r="C65" s="10"/>
      <c r="D65" s="10"/>
      <c r="E65" s="10"/>
      <c r="F65" s="10"/>
      <c r="G65" s="10"/>
      <c r="H65" s="10"/>
      <c r="I65" s="10"/>
      <c r="J65" s="10"/>
      <c r="K65" s="10"/>
    </row>
    <row r="68" spans="1:11" x14ac:dyDescent="0.35">
      <c r="A68" s="2" t="s">
        <v>262</v>
      </c>
      <c r="B68" s="5">
        <f>Bull!B29</f>
        <v>864.73140806000004</v>
      </c>
    </row>
    <row r="69" spans="1:11" x14ac:dyDescent="0.35">
      <c r="A69" s="2" t="s">
        <v>263</v>
      </c>
      <c r="B69" s="5">
        <f>F19</f>
        <v>3126.0307555181553</v>
      </c>
    </row>
  </sheetData>
  <mergeCells count="8">
    <mergeCell ref="A62:K62"/>
    <mergeCell ref="A64:K64"/>
    <mergeCell ref="A65:K65"/>
    <mergeCell ref="A1:K2"/>
    <mergeCell ref="A3:K3"/>
    <mergeCell ref="A9:K9"/>
    <mergeCell ref="A35:K35"/>
    <mergeCell ref="A60:K60"/>
  </mergeCells>
  <pageMargins left="0.7" right="0.7" top="0.75" bottom="0.75" header="0.3" footer="0.3"/>
  <pageSetup paperSize="9" fitToHeight="0" orientation="landscape"/>
  <headerFooter>
    <oddFooter>&amp;LAI-assisted; sources and assumptions disclosed&amp;R&amp;P / &amp;N</oddFooter>
  </headerFooter>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sheetPr>
    <pageSetUpPr fitToPage="1"/>
  </sheetPr>
  <dimension ref="A1:K29"/>
  <sheetViews>
    <sheetView showGridLines="0" zoomScale="90" zoomScaleNormal="90" workbookViewId="0">
      <pane xSplit="1" ySplit="6" topLeftCell="B7" activePane="bottomRight" state="frozen"/>
      <selection pane="topRight" activeCell="B1" sqref="B1"/>
      <selection pane="bottomLeft" activeCell="A7" sqref="A7"/>
      <selection pane="bottomRight"/>
    </sheetView>
  </sheetViews>
  <sheetFormatPr defaultRowHeight="14.5" x14ac:dyDescent="0.35"/>
  <cols>
    <col min="1" max="1" width="40.7265625" customWidth="1"/>
    <col min="2" max="11" width="14.7265625" customWidth="1"/>
  </cols>
  <sheetData>
    <row r="1" spans="1:11" x14ac:dyDescent="0.35">
      <c r="A1" s="9" t="s">
        <v>11</v>
      </c>
      <c r="B1" s="9"/>
      <c r="C1" s="9"/>
      <c r="D1" s="9"/>
      <c r="E1" s="9"/>
      <c r="F1" s="9"/>
      <c r="G1" s="9"/>
      <c r="H1" s="9"/>
      <c r="I1" s="9"/>
      <c r="J1" s="9"/>
      <c r="K1" s="9"/>
    </row>
    <row r="2" spans="1:11" x14ac:dyDescent="0.35">
      <c r="A2" s="9"/>
      <c r="B2" s="9"/>
      <c r="C2" s="9"/>
      <c r="D2" s="9"/>
      <c r="E2" s="9"/>
      <c r="F2" s="9"/>
      <c r="G2" s="9"/>
      <c r="H2" s="9"/>
      <c r="I2" s="9"/>
      <c r="J2" s="9"/>
      <c r="K2" s="9"/>
    </row>
    <row r="3" spans="1:11" x14ac:dyDescent="0.35">
      <c r="A3" s="10" t="s">
        <v>1</v>
      </c>
      <c r="B3" s="10"/>
      <c r="C3" s="10"/>
      <c r="D3" s="10"/>
      <c r="E3" s="10"/>
      <c r="F3" s="10"/>
      <c r="G3" s="10"/>
      <c r="H3" s="10"/>
      <c r="I3" s="10"/>
      <c r="J3" s="10"/>
      <c r="K3" s="10"/>
    </row>
    <row r="5" spans="1:11" ht="24" customHeight="1" x14ac:dyDescent="0.35">
      <c r="A5" s="11" t="s">
        <v>264</v>
      </c>
      <c r="B5" s="11"/>
      <c r="C5" s="11"/>
      <c r="D5" s="11"/>
      <c r="E5" s="11"/>
      <c r="F5" s="11"/>
      <c r="G5" s="11"/>
      <c r="H5" s="11"/>
      <c r="I5" s="11"/>
      <c r="J5" s="11"/>
      <c r="K5" s="11"/>
    </row>
    <row r="7" spans="1:11" x14ac:dyDescent="0.35">
      <c r="A7" s="2" t="s">
        <v>265</v>
      </c>
      <c r="B7" s="6">
        <v>927.03</v>
      </c>
    </row>
    <row r="8" spans="1:11" x14ac:dyDescent="0.35">
      <c r="A8" s="2" t="s">
        <v>266</v>
      </c>
      <c r="B8" s="6">
        <v>835.03</v>
      </c>
    </row>
    <row r="9" spans="1:11" x14ac:dyDescent="0.35">
      <c r="A9" s="2" t="s">
        <v>27</v>
      </c>
      <c r="B9" s="6">
        <v>893.61</v>
      </c>
    </row>
    <row r="10" spans="1:11" x14ac:dyDescent="0.35">
      <c r="A10" s="2" t="s">
        <v>267</v>
      </c>
      <c r="B10" s="6">
        <v>1149</v>
      </c>
    </row>
    <row r="12" spans="1:11" x14ac:dyDescent="0.35">
      <c r="A12" s="2" t="s">
        <v>268</v>
      </c>
      <c r="B12" s="4">
        <f>B8/B7-1</f>
        <v>-9.9241664239560712E-2</v>
      </c>
    </row>
    <row r="13" spans="1:11" x14ac:dyDescent="0.35">
      <c r="A13" s="2" t="s">
        <v>269</v>
      </c>
      <c r="B13" s="4">
        <f>(B9-B8)/(B7-B8)</f>
        <v>0.63673913043478303</v>
      </c>
    </row>
    <row r="14" spans="1:11" x14ac:dyDescent="0.35">
      <c r="A14" s="2" t="s">
        <v>270</v>
      </c>
      <c r="B14" s="4">
        <f>B7/B9-1</f>
        <v>3.7398865276798476E-2</v>
      </c>
    </row>
    <row r="15" spans="1:11" x14ac:dyDescent="0.35">
      <c r="A15" s="2" t="s">
        <v>271</v>
      </c>
      <c r="B15" s="4">
        <f>B10/B9-1</f>
        <v>0.2857958169671333</v>
      </c>
    </row>
    <row r="16" spans="1:11" x14ac:dyDescent="0.35">
      <c r="A16" s="2" t="s">
        <v>272</v>
      </c>
      <c r="B16" s="4">
        <f>B10/B7-1</f>
        <v>0.2394420892527751</v>
      </c>
    </row>
    <row r="19" spans="1:11" ht="24" customHeight="1" x14ac:dyDescent="0.35">
      <c r="A19" s="11" t="s">
        <v>273</v>
      </c>
      <c r="B19" s="11"/>
      <c r="C19" s="11"/>
      <c r="D19" s="11"/>
      <c r="E19" s="11"/>
      <c r="F19" s="11"/>
      <c r="G19" s="11"/>
      <c r="H19" s="11"/>
      <c r="I19" s="11"/>
      <c r="J19" s="11"/>
      <c r="K19" s="11"/>
    </row>
    <row r="21" spans="1:11" x14ac:dyDescent="0.35">
      <c r="A21" s="2" t="s">
        <v>274</v>
      </c>
      <c r="B21" s="7">
        <v>6.4466904704159389E-2</v>
      </c>
    </row>
    <row r="22" spans="1:11" x14ac:dyDescent="0.35">
      <c r="A22" s="2" t="s">
        <v>275</v>
      </c>
      <c r="B22" s="7">
        <v>6.8356975694890687E-2</v>
      </c>
    </row>
    <row r="23" spans="1:11" x14ac:dyDescent="0.35">
      <c r="A23" s="2" t="s">
        <v>276</v>
      </c>
      <c r="B23" s="7">
        <v>6.578575824255195E-2</v>
      </c>
    </row>
    <row r="24" spans="1:11" x14ac:dyDescent="0.35">
      <c r="A24" s="2" t="s">
        <v>277</v>
      </c>
      <c r="B24" s="7">
        <v>5.7682766480502627E-2</v>
      </c>
    </row>
    <row r="27" spans="1:11" ht="55" customHeight="1" x14ac:dyDescent="0.35">
      <c r="A27" s="12" t="s">
        <v>278</v>
      </c>
      <c r="B27" s="12"/>
      <c r="C27" s="12"/>
      <c r="D27" s="12"/>
      <c r="E27" s="12"/>
      <c r="F27" s="12"/>
      <c r="G27" s="12"/>
      <c r="H27" s="12"/>
      <c r="I27" s="12"/>
      <c r="J27" s="12"/>
      <c r="K27" s="12"/>
    </row>
    <row r="29" spans="1:11" ht="54" customHeight="1" x14ac:dyDescent="0.35">
      <c r="A29" s="10" t="s">
        <v>279</v>
      </c>
      <c r="B29" s="10"/>
      <c r="C29" s="10"/>
      <c r="D29" s="10"/>
      <c r="E29" s="10"/>
      <c r="F29" s="10"/>
      <c r="G29" s="10"/>
      <c r="H29" s="10"/>
      <c r="I29" s="10"/>
      <c r="J29" s="10"/>
      <c r="K29" s="10"/>
    </row>
  </sheetData>
  <mergeCells count="6">
    <mergeCell ref="A29:K29"/>
    <mergeCell ref="A1:K2"/>
    <mergeCell ref="A3:K3"/>
    <mergeCell ref="A5:K5"/>
    <mergeCell ref="A19:K19"/>
    <mergeCell ref="A27:K27"/>
  </mergeCells>
  <pageMargins left="0.7" right="0.7" top="0.75" bottom="0.75" header="0.3" footer="0.3"/>
  <pageSetup paperSize="9" fitToHeight="0" orientation="landscape"/>
  <headerFooter>
    <oddFooter>&amp;LAI-assisted; sources and assumptions disclosed&amp;R&amp;P / &amp;N</oddFooter>
  </headerFooter>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sheetPr>
    <pageSetUpPr fitToPage="1"/>
  </sheetPr>
  <dimension ref="A1:K22"/>
  <sheetViews>
    <sheetView showGridLines="0" zoomScale="90" zoomScaleNormal="90" workbookViewId="0">
      <pane xSplit="1" ySplit="6" topLeftCell="B7" activePane="bottomRight" state="frozen"/>
      <selection pane="topRight" activeCell="B1" sqref="B1"/>
      <selection pane="bottomLeft" activeCell="A7" sqref="A7"/>
      <selection pane="bottomRight"/>
    </sheetView>
  </sheetViews>
  <sheetFormatPr defaultRowHeight="14.5" x14ac:dyDescent="0.35"/>
  <cols>
    <col min="1" max="1" width="40.7265625" customWidth="1"/>
    <col min="2" max="11" width="14.7265625" customWidth="1"/>
  </cols>
  <sheetData>
    <row r="1" spans="1:11" x14ac:dyDescent="0.35">
      <c r="A1" s="9" t="s">
        <v>12</v>
      </c>
      <c r="B1" s="9"/>
      <c r="C1" s="9"/>
      <c r="D1" s="9"/>
      <c r="E1" s="9"/>
      <c r="F1" s="9"/>
      <c r="G1" s="9"/>
      <c r="H1" s="9"/>
      <c r="I1" s="9"/>
      <c r="J1" s="9"/>
      <c r="K1" s="9"/>
    </row>
    <row r="2" spans="1:11" x14ac:dyDescent="0.35">
      <c r="A2" s="9"/>
      <c r="B2" s="9"/>
      <c r="C2" s="9"/>
      <c r="D2" s="9"/>
      <c r="E2" s="9"/>
      <c r="F2" s="9"/>
      <c r="G2" s="9"/>
      <c r="H2" s="9"/>
      <c r="I2" s="9"/>
      <c r="J2" s="9"/>
      <c r="K2" s="9"/>
    </row>
    <row r="3" spans="1:11" x14ac:dyDescent="0.35">
      <c r="A3" s="10" t="s">
        <v>1</v>
      </c>
      <c r="B3" s="10"/>
      <c r="C3" s="10"/>
      <c r="D3" s="10"/>
      <c r="E3" s="10"/>
      <c r="F3" s="10"/>
      <c r="G3" s="10"/>
      <c r="H3" s="10"/>
      <c r="I3" s="10"/>
      <c r="J3" s="10"/>
      <c r="K3" s="10"/>
    </row>
    <row r="5" spans="1:11" ht="24" customHeight="1" x14ac:dyDescent="0.35">
      <c r="A5" s="11" t="s">
        <v>280</v>
      </c>
      <c r="B5" s="11"/>
      <c r="C5" s="11"/>
      <c r="D5" s="11"/>
      <c r="E5" s="11"/>
      <c r="F5" s="11"/>
      <c r="G5" s="11"/>
      <c r="H5" s="11"/>
      <c r="I5" s="11"/>
      <c r="J5" s="11"/>
      <c r="K5" s="11"/>
    </row>
    <row r="7" spans="1:11" ht="29" x14ac:dyDescent="0.35">
      <c r="A7" s="1" t="s">
        <v>45</v>
      </c>
      <c r="B7" s="1" t="s">
        <v>281</v>
      </c>
      <c r="C7" s="1" t="s">
        <v>46</v>
      </c>
      <c r="D7" s="1" t="s">
        <v>282</v>
      </c>
      <c r="E7" s="1" t="s">
        <v>283</v>
      </c>
      <c r="F7" s="1" t="s">
        <v>284</v>
      </c>
    </row>
    <row r="8" spans="1:11" ht="15.5" x14ac:dyDescent="0.35">
      <c r="A8" s="2" t="s">
        <v>52</v>
      </c>
      <c r="B8" s="6">
        <v>295.98</v>
      </c>
      <c r="C8" s="6">
        <v>2.1</v>
      </c>
      <c r="D8" s="6">
        <v>41.916734788732398</v>
      </c>
      <c r="E8" s="6">
        <v>31.43</v>
      </c>
      <c r="F8" s="3">
        <f>E8*$B$13</f>
        <v>681.08810000000005</v>
      </c>
    </row>
    <row r="9" spans="1:11" ht="15.5" x14ac:dyDescent="0.35">
      <c r="A9" s="2" t="s">
        <v>53</v>
      </c>
      <c r="B9" s="6">
        <v>240.76</v>
      </c>
      <c r="C9" s="6">
        <v>2.25</v>
      </c>
      <c r="D9" s="6">
        <v>74.557777824561398</v>
      </c>
      <c r="E9" s="6">
        <v>44.12</v>
      </c>
      <c r="F9" s="3">
        <f>E9*$B$13</f>
        <v>956.08040000000005</v>
      </c>
    </row>
    <row r="10" spans="1:11" ht="15.5" x14ac:dyDescent="0.35">
      <c r="A10" s="2" t="s">
        <v>54</v>
      </c>
      <c r="B10" s="6">
        <v>380.92</v>
      </c>
      <c r="C10" s="6">
        <v>1.21</v>
      </c>
      <c r="D10" s="6">
        <v>24.074978991200801</v>
      </c>
      <c r="E10" s="6">
        <v>20.71</v>
      </c>
      <c r="F10" s="3">
        <f>E10*$B$13</f>
        <v>448.78570000000008</v>
      </c>
    </row>
    <row r="13" spans="1:11" x14ac:dyDescent="0.35">
      <c r="A13" s="2" t="s">
        <v>285</v>
      </c>
      <c r="B13" s="6">
        <v>21.67</v>
      </c>
    </row>
    <row r="15" spans="1:11" x14ac:dyDescent="0.35">
      <c r="A15" s="2" t="s">
        <v>286</v>
      </c>
      <c r="B15" s="6">
        <v>820</v>
      </c>
    </row>
    <row r="16" spans="1:11" x14ac:dyDescent="0.35">
      <c r="A16" s="2" t="s">
        <v>287</v>
      </c>
      <c r="B16" s="6">
        <v>1149</v>
      </c>
    </row>
    <row r="17" spans="1:11" x14ac:dyDescent="0.35">
      <c r="A17" s="2" t="s">
        <v>288</v>
      </c>
      <c r="B17" s="6">
        <v>1400</v>
      </c>
    </row>
    <row r="20" spans="1:11" ht="53" customHeight="1" x14ac:dyDescent="0.35">
      <c r="A20" s="12" t="s">
        <v>289</v>
      </c>
      <c r="B20" s="12"/>
      <c r="C20" s="12"/>
      <c r="D20" s="12"/>
      <c r="E20" s="12"/>
      <c r="F20" s="12"/>
      <c r="G20" s="12"/>
      <c r="H20" s="12"/>
      <c r="I20" s="12"/>
      <c r="J20" s="12"/>
      <c r="K20" s="12"/>
    </row>
    <row r="22" spans="1:11" ht="50" customHeight="1" x14ac:dyDescent="0.35">
      <c r="A22" s="10" t="s">
        <v>290</v>
      </c>
      <c r="B22" s="10"/>
      <c r="C22" s="10"/>
      <c r="D22" s="10"/>
      <c r="E22" s="10"/>
      <c r="F22" s="10"/>
      <c r="G22" s="10"/>
      <c r="H22" s="10"/>
      <c r="I22" s="10"/>
      <c r="J22" s="10"/>
      <c r="K22" s="10"/>
    </row>
  </sheetData>
  <mergeCells count="5">
    <mergeCell ref="A1:K2"/>
    <mergeCell ref="A3:K3"/>
    <mergeCell ref="A5:K5"/>
    <mergeCell ref="A20:K20"/>
    <mergeCell ref="A22:K22"/>
  </mergeCells>
  <pageMargins left="0.7" right="0.7" top="0.75" bottom="0.75" header="0.3" footer="0.3"/>
  <pageSetup paperSize="9" fitToHeight="0" orientation="landscape"/>
  <headerFooter>
    <oddFooter>&amp;LAI-assisted; sources and assumptions disclosed&amp;R&amp;P / &amp;N</oddFooter>
  </headerFooter>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sheetPr>
    <pageSetUpPr fitToPage="1"/>
  </sheetPr>
  <dimension ref="A1:K18"/>
  <sheetViews>
    <sheetView showGridLines="0" zoomScale="90" zoomScaleNormal="90" workbookViewId="0">
      <pane xSplit="1" ySplit="6" topLeftCell="B7" activePane="bottomRight" state="frozen"/>
      <selection pane="topRight" activeCell="B1" sqref="B1"/>
      <selection pane="bottomLeft" activeCell="A7" sqref="A7"/>
      <selection pane="bottomRight"/>
    </sheetView>
  </sheetViews>
  <sheetFormatPr defaultRowHeight="14.5" x14ac:dyDescent="0.35"/>
  <cols>
    <col min="1" max="1" width="40.7265625" customWidth="1"/>
    <col min="2" max="11" width="14.7265625" customWidth="1"/>
  </cols>
  <sheetData>
    <row r="1" spans="1:11" x14ac:dyDescent="0.35">
      <c r="A1" s="9" t="s">
        <v>13</v>
      </c>
      <c r="B1" s="9"/>
      <c r="C1" s="9"/>
      <c r="D1" s="9"/>
      <c r="E1" s="9"/>
      <c r="F1" s="9"/>
      <c r="G1" s="9"/>
      <c r="H1" s="9"/>
      <c r="I1" s="9"/>
      <c r="J1" s="9"/>
      <c r="K1" s="9"/>
    </row>
    <row r="2" spans="1:11" x14ac:dyDescent="0.35">
      <c r="A2" s="9"/>
      <c r="B2" s="9"/>
      <c r="C2" s="9"/>
      <c r="D2" s="9"/>
      <c r="E2" s="9"/>
      <c r="F2" s="9"/>
      <c r="G2" s="9"/>
      <c r="H2" s="9"/>
      <c r="I2" s="9"/>
      <c r="J2" s="9"/>
      <c r="K2" s="9"/>
    </row>
    <row r="3" spans="1:11" x14ac:dyDescent="0.35">
      <c r="A3" s="10" t="s">
        <v>1</v>
      </c>
      <c r="B3" s="10"/>
      <c r="C3" s="10"/>
      <c r="D3" s="10"/>
      <c r="E3" s="10"/>
      <c r="F3" s="10"/>
      <c r="G3" s="10"/>
      <c r="H3" s="10"/>
      <c r="I3" s="10"/>
      <c r="J3" s="10"/>
      <c r="K3" s="10"/>
    </row>
    <row r="5" spans="1:11" ht="24" customHeight="1" x14ac:dyDescent="0.35">
      <c r="A5" s="11" t="s">
        <v>291</v>
      </c>
      <c r="B5" s="11"/>
      <c r="C5" s="11"/>
      <c r="D5" s="11"/>
      <c r="E5" s="11"/>
      <c r="F5" s="11"/>
      <c r="G5" s="11"/>
      <c r="H5" s="11"/>
      <c r="I5" s="11"/>
      <c r="J5" s="11"/>
      <c r="K5" s="11"/>
    </row>
    <row r="6" spans="1:11" x14ac:dyDescent="0.35">
      <c r="B6" s="1" t="s">
        <v>76</v>
      </c>
      <c r="C6" s="1" t="s">
        <v>77</v>
      </c>
      <c r="D6" s="1" t="s">
        <v>78</v>
      </c>
      <c r="E6" s="1" t="s">
        <v>79</v>
      </c>
      <c r="F6" s="1" t="s">
        <v>80</v>
      </c>
      <c r="G6" s="1" t="s">
        <v>81</v>
      </c>
      <c r="H6" s="1" t="s">
        <v>82</v>
      </c>
      <c r="I6" s="1" t="s">
        <v>83</v>
      </c>
      <c r="J6" s="1" t="s">
        <v>84</v>
      </c>
      <c r="K6" s="1" t="s">
        <v>85</v>
      </c>
    </row>
    <row r="8" spans="1:11" x14ac:dyDescent="0.35">
      <c r="A8" s="2" t="s">
        <v>292</v>
      </c>
      <c r="B8" s="5">
        <f>Capital!B7+Capital!B8</f>
        <v>2738.4</v>
      </c>
      <c r="C8" s="5">
        <f t="shared" ref="C8:K8" si="0">B12</f>
        <v>2697.2269995835618</v>
      </c>
      <c r="D8" s="5">
        <f t="shared" si="0"/>
        <v>3320.4401515835621</v>
      </c>
      <c r="E8" s="5">
        <f t="shared" si="0"/>
        <v>4340.1051115835617</v>
      </c>
      <c r="F8" s="5">
        <f t="shared" si="0"/>
        <v>5734.898411583561</v>
      </c>
      <c r="G8" s="5">
        <f t="shared" si="0"/>
        <v>7250.0394437435616</v>
      </c>
      <c r="H8" s="5">
        <f t="shared" si="0"/>
        <v>7524.440487663961</v>
      </c>
      <c r="I8" s="5">
        <f t="shared" si="0"/>
        <v>9167.8207010962105</v>
      </c>
      <c r="J8" s="5">
        <f t="shared" si="0"/>
        <v>10823.764108761945</v>
      </c>
      <c r="K8" s="5">
        <f t="shared" si="0"/>
        <v>12464.787896169351</v>
      </c>
    </row>
    <row r="9" spans="1:11" x14ac:dyDescent="0.35">
      <c r="A9" s="2" t="s">
        <v>293</v>
      </c>
      <c r="B9" s="5">
        <f>Bear!B32*Bear!B36</f>
        <v>141.50082191780808</v>
      </c>
      <c r="C9" s="5">
        <f>Bear!C32*Bear!C36</f>
        <v>905.26800000000026</v>
      </c>
      <c r="D9" s="5">
        <f>Bear!D32*Bear!D36</f>
        <v>1184.4871999999998</v>
      </c>
      <c r="E9" s="5">
        <f>Bear!E32*Bear!E36</f>
        <v>1470.0860999999998</v>
      </c>
      <c r="F9" s="5">
        <f>Bear!F32*Bear!F36</f>
        <v>1590.4338321600005</v>
      </c>
      <c r="G9" s="5">
        <f>Bear!G32*Bear!G36</f>
        <v>1614.6938439204</v>
      </c>
      <c r="H9" s="5">
        <f>Bear!H32*Bear!H36</f>
        <v>1643.3802134322486</v>
      </c>
      <c r="I9" s="5">
        <f>Bear!I32*Bear!I36</f>
        <v>1655.9434076657335</v>
      </c>
      <c r="J9" s="5">
        <f>Bear!J32*Bear!J36</f>
        <v>1641.0237874074069</v>
      </c>
      <c r="K9" s="5">
        <f>Bear!K32*Bear!K36</f>
        <v>1690.2545010296296</v>
      </c>
    </row>
    <row r="10" spans="1:11" x14ac:dyDescent="0.35">
      <c r="A10" s="2" t="s">
        <v>294</v>
      </c>
      <c r="B10" s="6">
        <v>107.2</v>
      </c>
      <c r="C10" s="6">
        <v>190.4</v>
      </c>
      <c r="D10" s="6">
        <v>84.5</v>
      </c>
      <c r="E10" s="6">
        <v>0</v>
      </c>
      <c r="F10" s="6">
        <v>0</v>
      </c>
      <c r="G10" s="6">
        <v>1265</v>
      </c>
      <c r="H10" s="6">
        <v>0</v>
      </c>
      <c r="I10" s="6">
        <v>0</v>
      </c>
      <c r="J10" s="6">
        <v>0</v>
      </c>
      <c r="K10" s="6">
        <v>0</v>
      </c>
    </row>
    <row r="11" spans="1:11" x14ac:dyDescent="0.35">
      <c r="A11" s="2" t="s">
        <v>295</v>
      </c>
      <c r="B11" s="5">
        <f>Capital!$B$33*WACC!$B$23*(1-WACC!$B$19)*Bear!B36</f>
        <v>75.473822334246577</v>
      </c>
      <c r="C11" s="5">
        <f>B13*WACC!$B$23*(1-WACC!$B$19)*Bear!C36</f>
        <v>91.654847999999987</v>
      </c>
      <c r="D11" s="5">
        <f>C13*WACC!$B$23*(1-WACC!$B$19)*Bear!D36</f>
        <v>80.322239999999979</v>
      </c>
      <c r="E11" s="5">
        <f>D13*WACC!$B$23*(1-WACC!$B$19)*Bear!E36</f>
        <v>75.292799999999986</v>
      </c>
      <c r="F11" s="5">
        <f>E13*WACC!$B$23*(1-WACC!$B$19)*Bear!F36</f>
        <v>75.292799999999986</v>
      </c>
      <c r="G11" s="5">
        <f>F13*WACC!$B$23*(1-WACC!$B$19)*Bear!G36</f>
        <v>75.292799999999986</v>
      </c>
      <c r="H11" s="5">
        <f>G13*WACC!$B$23*(1-WACC!$B$19)*Bear!H36</f>
        <v>0</v>
      </c>
      <c r="I11" s="5">
        <f>H13*WACC!$B$23*(1-WACC!$B$19)*Bear!I36</f>
        <v>0</v>
      </c>
      <c r="J11" s="5">
        <f>I13*WACC!$B$23*(1-WACC!$B$19)*Bear!J36</f>
        <v>0</v>
      </c>
      <c r="K11" s="5">
        <f>J13*WACC!$B$23*(1-WACC!$B$19)*Bear!K36</f>
        <v>0</v>
      </c>
    </row>
    <row r="12" spans="1:11" x14ac:dyDescent="0.35">
      <c r="A12" s="2" t="s">
        <v>296</v>
      </c>
      <c r="B12" s="8">
        <f t="shared" ref="B12:K12" si="1">B8+B9-B10-B11</f>
        <v>2697.2269995835618</v>
      </c>
      <c r="C12" s="8">
        <f t="shared" si="1"/>
        <v>3320.4401515835621</v>
      </c>
      <c r="D12" s="8">
        <f t="shared" si="1"/>
        <v>4340.1051115835617</v>
      </c>
      <c r="E12" s="8">
        <f t="shared" si="1"/>
        <v>5734.898411583561</v>
      </c>
      <c r="F12" s="8">
        <f t="shared" si="1"/>
        <v>7250.0394437435616</v>
      </c>
      <c r="G12" s="8">
        <f t="shared" si="1"/>
        <v>7524.440487663961</v>
      </c>
      <c r="H12" s="8">
        <f t="shared" si="1"/>
        <v>9167.8207010962105</v>
      </c>
      <c r="I12" s="8">
        <f t="shared" si="1"/>
        <v>10823.764108761945</v>
      </c>
      <c r="J12" s="8">
        <f t="shared" si="1"/>
        <v>12464.787896169351</v>
      </c>
      <c r="K12" s="8">
        <f t="shared" si="1"/>
        <v>14155.04239719898</v>
      </c>
    </row>
    <row r="13" spans="1:11" x14ac:dyDescent="0.35">
      <c r="A13" s="2" t="s">
        <v>297</v>
      </c>
      <c r="B13" s="5">
        <f>Capital!$B$33-B10</f>
        <v>1539.8999999999999</v>
      </c>
      <c r="C13" s="5">
        <f t="shared" ref="C13:K13" si="2">B13-C10</f>
        <v>1349.4999999999998</v>
      </c>
      <c r="D13" s="5">
        <f t="shared" si="2"/>
        <v>1264.9999999999998</v>
      </c>
      <c r="E13" s="5">
        <f t="shared" si="2"/>
        <v>1264.9999999999998</v>
      </c>
      <c r="F13" s="5">
        <f t="shared" si="2"/>
        <v>1264.9999999999998</v>
      </c>
      <c r="G13" s="5">
        <f t="shared" si="2"/>
        <v>0</v>
      </c>
      <c r="H13" s="5">
        <f t="shared" si="2"/>
        <v>0</v>
      </c>
      <c r="I13" s="5">
        <f t="shared" si="2"/>
        <v>0</v>
      </c>
      <c r="J13" s="5">
        <f t="shared" si="2"/>
        <v>0</v>
      </c>
      <c r="K13" s="5">
        <f t="shared" si="2"/>
        <v>0</v>
      </c>
    </row>
    <row r="16" spans="1:11" ht="58" customHeight="1" x14ac:dyDescent="0.35">
      <c r="A16" s="10" t="s">
        <v>298</v>
      </c>
      <c r="B16" s="10"/>
      <c r="C16" s="10"/>
      <c r="D16" s="10"/>
      <c r="E16" s="10"/>
      <c r="F16" s="10"/>
      <c r="G16" s="10"/>
      <c r="H16" s="10"/>
      <c r="I16" s="10"/>
      <c r="J16" s="10"/>
      <c r="K16" s="10"/>
    </row>
    <row r="18" spans="1:11" ht="52" customHeight="1" x14ac:dyDescent="0.35">
      <c r="A18" s="12" t="s">
        <v>299</v>
      </c>
      <c r="B18" s="12"/>
      <c r="C18" s="12"/>
      <c r="D18" s="12"/>
      <c r="E18" s="12"/>
      <c r="F18" s="12"/>
      <c r="G18" s="12"/>
      <c r="H18" s="12"/>
      <c r="I18" s="12"/>
      <c r="J18" s="12"/>
      <c r="K18" s="12"/>
    </row>
  </sheetData>
  <mergeCells count="5">
    <mergeCell ref="A1:K2"/>
    <mergeCell ref="A3:K3"/>
    <mergeCell ref="A5:K5"/>
    <mergeCell ref="A16:K16"/>
    <mergeCell ref="A18:K18"/>
  </mergeCells>
  <pageMargins left="0.7" right="0.7" top="0.75" bottom="0.75" header="0.3" footer="0.3"/>
  <pageSetup paperSize="9" fitToHeight="0" orientation="landscape"/>
  <headerFooter>
    <oddFooter>&amp;LAI-assisted; sources and assumptions disclosed&amp;R&amp;P / &amp;N</oddFooter>
  </headerFooter>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sheetPr>
    <pageSetUpPr fitToPage="1"/>
  </sheetPr>
  <dimension ref="A1:K22"/>
  <sheetViews>
    <sheetView showGridLines="0" zoomScale="90" zoomScaleNormal="90" workbookViewId="0">
      <pane xSplit="1" ySplit="6" topLeftCell="B7" activePane="bottomRight" state="frozen"/>
      <selection pane="topRight" activeCell="B1" sqref="B1"/>
      <selection pane="bottomLeft" activeCell="A7" sqref="A7"/>
      <selection pane="bottomRight"/>
    </sheetView>
  </sheetViews>
  <sheetFormatPr defaultRowHeight="14.5" x14ac:dyDescent="0.35"/>
  <cols>
    <col min="1" max="1" width="7.7265625" customWidth="1"/>
    <col min="2" max="2" width="32.7265625" customWidth="1"/>
    <col min="3" max="3" width="20.7265625" customWidth="1"/>
    <col min="4" max="4" width="65.7265625" customWidth="1"/>
    <col min="5" max="5" width="70.7265625" customWidth="1"/>
    <col min="6" max="11" width="14.7265625" customWidth="1"/>
  </cols>
  <sheetData>
    <row r="1" spans="1:11" x14ac:dyDescent="0.35">
      <c r="A1" s="9" t="s">
        <v>14</v>
      </c>
      <c r="B1" s="9"/>
      <c r="C1" s="9"/>
      <c r="D1" s="9"/>
      <c r="E1" s="9"/>
      <c r="F1" s="9"/>
      <c r="G1" s="9"/>
      <c r="H1" s="9"/>
      <c r="I1" s="9"/>
      <c r="J1" s="9"/>
      <c r="K1" s="9"/>
    </row>
    <row r="2" spans="1:11" x14ac:dyDescent="0.35">
      <c r="A2" s="9"/>
      <c r="B2" s="9"/>
      <c r="C2" s="9"/>
      <c r="D2" s="9"/>
      <c r="E2" s="9"/>
      <c r="F2" s="9"/>
      <c r="G2" s="9"/>
      <c r="H2" s="9"/>
      <c r="I2" s="9"/>
      <c r="J2" s="9"/>
      <c r="K2" s="9"/>
    </row>
    <row r="3" spans="1:11" x14ac:dyDescent="0.35">
      <c r="A3" s="10" t="s">
        <v>1</v>
      </c>
      <c r="B3" s="10"/>
      <c r="C3" s="10"/>
      <c r="D3" s="10"/>
      <c r="E3" s="10"/>
      <c r="F3" s="10"/>
      <c r="G3" s="10"/>
      <c r="H3" s="10"/>
      <c r="I3" s="10"/>
      <c r="J3" s="10"/>
      <c r="K3" s="10"/>
    </row>
    <row r="5" spans="1:11" x14ac:dyDescent="0.35">
      <c r="A5" s="1" t="s">
        <v>324</v>
      </c>
      <c r="B5" s="1" t="s">
        <v>325</v>
      </c>
      <c r="C5" s="1" t="s">
        <v>326</v>
      </c>
      <c r="D5" s="1" t="s">
        <v>327</v>
      </c>
      <c r="E5" s="1" t="s">
        <v>328</v>
      </c>
    </row>
    <row r="6" spans="1:11" ht="70" customHeight="1" x14ac:dyDescent="0.35">
      <c r="A6" s="2" t="s">
        <v>329</v>
      </c>
      <c r="B6" s="2" t="s">
        <v>330</v>
      </c>
      <c r="C6" s="2" t="s">
        <v>331</v>
      </c>
      <c r="D6" s="2" t="s">
        <v>332</v>
      </c>
      <c r="E6" s="2" t="s">
        <v>333</v>
      </c>
    </row>
    <row r="7" spans="1:11" ht="70" customHeight="1" x14ac:dyDescent="0.35">
      <c r="A7" s="2" t="s">
        <v>236</v>
      </c>
      <c r="B7" s="2" t="s">
        <v>334</v>
      </c>
      <c r="C7" s="2" t="s">
        <v>335</v>
      </c>
      <c r="D7" s="2" t="s">
        <v>336</v>
      </c>
      <c r="E7" s="2" t="s">
        <v>337</v>
      </c>
    </row>
    <row r="8" spans="1:11" ht="70" customHeight="1" x14ac:dyDescent="0.35">
      <c r="A8" s="2" t="s">
        <v>338</v>
      </c>
      <c r="B8" s="2" t="s">
        <v>339</v>
      </c>
      <c r="C8" s="2" t="s">
        <v>340</v>
      </c>
      <c r="D8" s="2" t="s">
        <v>341</v>
      </c>
      <c r="E8" s="2" t="s">
        <v>342</v>
      </c>
    </row>
    <row r="9" spans="1:11" ht="70" customHeight="1" x14ac:dyDescent="0.35">
      <c r="A9" s="2" t="s">
        <v>343</v>
      </c>
      <c r="B9" s="2" t="s">
        <v>344</v>
      </c>
      <c r="C9" s="2" t="s">
        <v>345</v>
      </c>
      <c r="D9" s="2" t="s">
        <v>346</v>
      </c>
      <c r="E9" s="2" t="s">
        <v>347</v>
      </c>
    </row>
    <row r="10" spans="1:11" ht="70" customHeight="1" x14ac:dyDescent="0.35">
      <c r="A10" s="2" t="s">
        <v>348</v>
      </c>
      <c r="B10" s="2" t="s">
        <v>349</v>
      </c>
      <c r="C10" s="2" t="s">
        <v>350</v>
      </c>
      <c r="D10" s="2" t="s">
        <v>351</v>
      </c>
      <c r="E10" s="2" t="s">
        <v>352</v>
      </c>
    </row>
    <row r="11" spans="1:11" ht="70" customHeight="1" x14ac:dyDescent="0.35">
      <c r="A11" s="2" t="s">
        <v>353</v>
      </c>
      <c r="B11" s="2" t="s">
        <v>354</v>
      </c>
      <c r="C11" s="2" t="s">
        <v>355</v>
      </c>
      <c r="D11" s="2" t="s">
        <v>356</v>
      </c>
      <c r="E11" s="2" t="s">
        <v>357</v>
      </c>
    </row>
    <row r="12" spans="1:11" ht="70" customHeight="1" x14ac:dyDescent="0.35">
      <c r="A12" s="2" t="s">
        <v>358</v>
      </c>
      <c r="B12" s="2" t="s">
        <v>359</v>
      </c>
      <c r="C12" s="2" t="s">
        <v>360</v>
      </c>
      <c r="D12" s="2" t="s">
        <v>361</v>
      </c>
      <c r="E12" s="2" t="s">
        <v>362</v>
      </c>
    </row>
    <row r="13" spans="1:11" ht="70" customHeight="1" x14ac:dyDescent="0.35">
      <c r="A13" s="2" t="s">
        <v>363</v>
      </c>
      <c r="B13" s="2" t="s">
        <v>364</v>
      </c>
      <c r="C13" s="2" t="s">
        <v>345</v>
      </c>
      <c r="D13" s="2" t="s">
        <v>365</v>
      </c>
      <c r="E13" s="2" t="s">
        <v>366</v>
      </c>
    </row>
    <row r="14" spans="1:11" ht="70" customHeight="1" x14ac:dyDescent="0.35">
      <c r="A14" s="2" t="s">
        <v>367</v>
      </c>
      <c r="B14" s="2" t="s">
        <v>368</v>
      </c>
      <c r="C14" s="2" t="s">
        <v>345</v>
      </c>
      <c r="D14" s="2" t="s">
        <v>369</v>
      </c>
      <c r="E14" s="2" t="s">
        <v>370</v>
      </c>
    </row>
    <row r="15" spans="1:11" ht="70" customHeight="1" x14ac:dyDescent="0.35">
      <c r="A15" s="2" t="s">
        <v>371</v>
      </c>
      <c r="B15" s="2" t="s">
        <v>372</v>
      </c>
      <c r="C15" s="2" t="s">
        <v>345</v>
      </c>
      <c r="D15" s="2" t="s">
        <v>373</v>
      </c>
      <c r="E15" s="2" t="s">
        <v>374</v>
      </c>
    </row>
    <row r="16" spans="1:11" ht="70" customHeight="1" x14ac:dyDescent="0.35">
      <c r="A16" s="2" t="s">
        <v>375</v>
      </c>
      <c r="B16" s="2" t="s">
        <v>376</v>
      </c>
      <c r="C16" s="2" t="s">
        <v>377</v>
      </c>
      <c r="D16" s="2" t="s">
        <v>378</v>
      </c>
      <c r="E16" s="2" t="s">
        <v>379</v>
      </c>
    </row>
    <row r="17" spans="1:5" ht="70" customHeight="1" x14ac:dyDescent="0.35">
      <c r="A17" s="2" t="s">
        <v>380</v>
      </c>
      <c r="B17" s="2" t="s">
        <v>381</v>
      </c>
      <c r="C17" s="2" t="s">
        <v>382</v>
      </c>
      <c r="D17" s="2" t="s">
        <v>383</v>
      </c>
      <c r="E17" s="2" t="s">
        <v>384</v>
      </c>
    </row>
    <row r="18" spans="1:5" ht="70" customHeight="1" x14ac:dyDescent="0.35">
      <c r="A18" s="2" t="s">
        <v>385</v>
      </c>
      <c r="B18" s="2" t="s">
        <v>386</v>
      </c>
      <c r="C18" s="2" t="s">
        <v>387</v>
      </c>
      <c r="D18" s="2" t="s">
        <v>388</v>
      </c>
      <c r="E18" s="2" t="s">
        <v>389</v>
      </c>
    </row>
    <row r="19" spans="1:5" ht="70" customHeight="1" x14ac:dyDescent="0.35">
      <c r="A19" s="2" t="s">
        <v>390</v>
      </c>
      <c r="B19" s="2" t="s">
        <v>391</v>
      </c>
      <c r="C19" s="2" t="s">
        <v>392</v>
      </c>
      <c r="D19" s="2" t="s">
        <v>393</v>
      </c>
      <c r="E19" s="2" t="s">
        <v>394</v>
      </c>
    </row>
    <row r="20" spans="1:5" ht="70" customHeight="1" x14ac:dyDescent="0.35">
      <c r="A20" s="2" t="s">
        <v>395</v>
      </c>
      <c r="B20" s="2" t="s">
        <v>396</v>
      </c>
      <c r="C20" s="2" t="s">
        <v>345</v>
      </c>
      <c r="D20" s="2" t="s">
        <v>397</v>
      </c>
      <c r="E20" s="2" t="s">
        <v>398</v>
      </c>
    </row>
    <row r="21" spans="1:5" ht="70" customHeight="1" x14ac:dyDescent="0.35">
      <c r="A21" s="2" t="s">
        <v>399</v>
      </c>
      <c r="B21" s="2" t="s">
        <v>400</v>
      </c>
      <c r="C21" s="2" t="s">
        <v>401</v>
      </c>
      <c r="D21" s="2" t="s">
        <v>402</v>
      </c>
      <c r="E21" s="2" t="s">
        <v>403</v>
      </c>
    </row>
    <row r="22" spans="1:5" ht="60" customHeight="1" x14ac:dyDescent="0.35">
      <c r="A22" s="2" t="s">
        <v>404</v>
      </c>
      <c r="B22" s="2" t="s">
        <v>405</v>
      </c>
      <c r="C22" s="2" t="s">
        <v>406</v>
      </c>
      <c r="D22" s="2" t="s">
        <v>407</v>
      </c>
      <c r="E22" s="2" t="s">
        <v>408</v>
      </c>
    </row>
  </sheetData>
  <mergeCells count="2">
    <mergeCell ref="A1:K2"/>
    <mergeCell ref="A3:K3"/>
  </mergeCells>
  <hyperlinks>
    <hyperlink ref="D6" r:id="rId1" xr:uid="{00000000-0004-0000-0D00-000000000000}"/>
    <hyperlink ref="D7" r:id="rId2" xr:uid="{00000000-0004-0000-0D00-000001000000}"/>
    <hyperlink ref="D8" r:id="rId3" xr:uid="{00000000-0004-0000-0D00-000002000000}"/>
    <hyperlink ref="D9" r:id="rId4" xr:uid="{00000000-0004-0000-0D00-000003000000}"/>
    <hyperlink ref="D10" r:id="rId5" xr:uid="{00000000-0004-0000-0D00-000004000000}"/>
    <hyperlink ref="D11" r:id="rId6" xr:uid="{00000000-0004-0000-0D00-000005000000}"/>
    <hyperlink ref="D12" r:id="rId7" xr:uid="{00000000-0004-0000-0D00-000006000000}"/>
    <hyperlink ref="D13" r:id="rId8" xr:uid="{00000000-0004-0000-0D00-000007000000}"/>
    <hyperlink ref="D14" r:id="rId9" xr:uid="{00000000-0004-0000-0D00-000008000000}"/>
    <hyperlink ref="D15" r:id="rId10" xr:uid="{00000000-0004-0000-0D00-000009000000}"/>
    <hyperlink ref="D16" r:id="rId11" xr:uid="{00000000-0004-0000-0D00-00000A000000}"/>
    <hyperlink ref="D17" r:id="rId12" xr:uid="{00000000-0004-0000-0D00-00000B000000}"/>
    <hyperlink ref="D18" r:id="rId13" xr:uid="{00000000-0004-0000-0D00-00000C000000}"/>
    <hyperlink ref="D19" r:id="rId14" xr:uid="{00000000-0004-0000-0D00-00000D000000}"/>
    <hyperlink ref="D20" r:id="rId15" xr:uid="{00000000-0004-0000-0D00-00000E000000}"/>
    <hyperlink ref="D21" r:id="rId16" xr:uid="{00000000-0004-0000-0D00-00000F000000}"/>
    <hyperlink ref="D22" r:id="rId17" xr:uid="{00000000-0004-0000-0D00-000010000000}"/>
  </hyperlinks>
  <pageMargins left="0.7" right="0.7" top="0.75" bottom="0.75" header="0.3" footer="0.3"/>
  <pageSetup paperSize="9" fitToHeight="0" orientation="landscape"/>
  <headerFooter>
    <oddFooter>&amp;LAI-assisted; sources and assumptions disclosed&amp;R&amp;P / &amp;N</oddFooter>
  </headerFooter>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sheetPr>
    <pageSetUpPr fitToPage="1"/>
  </sheetPr>
  <dimension ref="A1:K14"/>
  <sheetViews>
    <sheetView showGridLines="0" zoomScale="90" zoomScaleNormal="90" workbookViewId="0">
      <pane xSplit="1" ySplit="6" topLeftCell="B7" activePane="bottomRight" state="frozen"/>
      <selection pane="topRight" activeCell="B1" sqref="B1"/>
      <selection pane="bottomLeft" activeCell="A7" sqref="A7"/>
      <selection pane="bottomRight"/>
    </sheetView>
  </sheetViews>
  <sheetFormatPr defaultRowHeight="14.5" x14ac:dyDescent="0.35"/>
  <cols>
    <col min="1" max="1" width="40.7265625" customWidth="1"/>
    <col min="2" max="11" width="14.7265625" customWidth="1"/>
  </cols>
  <sheetData>
    <row r="1" spans="1:11" x14ac:dyDescent="0.35">
      <c r="A1" s="9" t="s">
        <v>15</v>
      </c>
      <c r="B1" s="9"/>
      <c r="C1" s="9"/>
      <c r="D1" s="9"/>
      <c r="E1" s="9"/>
      <c r="F1" s="9"/>
      <c r="G1" s="9"/>
      <c r="H1" s="9"/>
      <c r="I1" s="9"/>
      <c r="J1" s="9"/>
      <c r="K1" s="9"/>
    </row>
    <row r="2" spans="1:11" x14ac:dyDescent="0.35">
      <c r="A2" s="9"/>
      <c r="B2" s="9"/>
      <c r="C2" s="9"/>
      <c r="D2" s="9"/>
      <c r="E2" s="9"/>
      <c r="F2" s="9"/>
      <c r="G2" s="9"/>
      <c r="H2" s="9"/>
      <c r="I2" s="9"/>
      <c r="J2" s="9"/>
      <c r="K2" s="9"/>
    </row>
    <row r="3" spans="1:11" x14ac:dyDescent="0.35">
      <c r="A3" s="10" t="s">
        <v>1</v>
      </c>
      <c r="B3" s="10"/>
      <c r="C3" s="10"/>
      <c r="D3" s="10"/>
      <c r="E3" s="10"/>
      <c r="F3" s="10"/>
      <c r="G3" s="10"/>
      <c r="H3" s="10"/>
      <c r="I3" s="10"/>
      <c r="J3" s="10"/>
      <c r="K3" s="10"/>
    </row>
    <row r="5" spans="1:11" ht="66" customHeight="1" x14ac:dyDescent="0.35">
      <c r="A5" s="1" t="s">
        <v>409</v>
      </c>
      <c r="B5" s="13" t="s">
        <v>410</v>
      </c>
      <c r="C5" s="13"/>
      <c r="D5" s="13"/>
      <c r="E5" s="13"/>
      <c r="F5" s="13"/>
      <c r="G5" s="13"/>
      <c r="H5" s="13"/>
      <c r="I5" s="13"/>
      <c r="J5" s="13"/>
      <c r="K5" s="13"/>
    </row>
    <row r="6" spans="1:11" ht="66" customHeight="1" x14ac:dyDescent="0.35">
      <c r="A6" s="1" t="s">
        <v>411</v>
      </c>
      <c r="B6" s="13" t="s">
        <v>412</v>
      </c>
      <c r="C6" s="13"/>
      <c r="D6" s="13"/>
      <c r="E6" s="13"/>
      <c r="F6" s="13"/>
      <c r="G6" s="13"/>
      <c r="H6" s="13"/>
      <c r="I6" s="13"/>
      <c r="J6" s="13"/>
      <c r="K6" s="13"/>
    </row>
    <row r="7" spans="1:11" ht="66" customHeight="1" x14ac:dyDescent="0.35">
      <c r="A7" s="1" t="s">
        <v>413</v>
      </c>
      <c r="B7" s="13" t="s">
        <v>414</v>
      </c>
      <c r="C7" s="13"/>
      <c r="D7" s="13"/>
      <c r="E7" s="13"/>
      <c r="F7" s="13"/>
      <c r="G7" s="13"/>
      <c r="H7" s="13"/>
      <c r="I7" s="13"/>
      <c r="J7" s="13"/>
      <c r="K7" s="13"/>
    </row>
    <row r="8" spans="1:11" ht="66" customHeight="1" x14ac:dyDescent="0.35">
      <c r="A8" s="1" t="s">
        <v>415</v>
      </c>
      <c r="B8" s="13" t="s">
        <v>416</v>
      </c>
      <c r="C8" s="13"/>
      <c r="D8" s="13"/>
      <c r="E8" s="13"/>
      <c r="F8" s="13"/>
      <c r="G8" s="13"/>
      <c r="H8" s="13"/>
      <c r="I8" s="13"/>
      <c r="J8" s="13"/>
      <c r="K8" s="13"/>
    </row>
    <row r="9" spans="1:11" ht="66" customHeight="1" x14ac:dyDescent="0.35">
      <c r="A9" s="1" t="s">
        <v>417</v>
      </c>
      <c r="B9" s="13" t="s">
        <v>418</v>
      </c>
      <c r="C9" s="13"/>
      <c r="D9" s="13"/>
      <c r="E9" s="13"/>
      <c r="F9" s="13"/>
      <c r="G9" s="13"/>
      <c r="H9" s="13"/>
      <c r="I9" s="13"/>
      <c r="J9" s="13"/>
      <c r="K9" s="13"/>
    </row>
    <row r="10" spans="1:11" ht="66" customHeight="1" x14ac:dyDescent="0.35">
      <c r="A10" s="1" t="s">
        <v>419</v>
      </c>
      <c r="B10" s="13" t="s">
        <v>420</v>
      </c>
      <c r="C10" s="13"/>
      <c r="D10" s="13"/>
      <c r="E10" s="13"/>
      <c r="F10" s="13"/>
      <c r="G10" s="13"/>
      <c r="H10" s="13"/>
      <c r="I10" s="13"/>
      <c r="J10" s="13"/>
      <c r="K10" s="13"/>
    </row>
    <row r="11" spans="1:11" ht="66" customHeight="1" x14ac:dyDescent="0.35">
      <c r="A11" s="1" t="s">
        <v>421</v>
      </c>
      <c r="B11" s="13" t="s">
        <v>422</v>
      </c>
      <c r="C11" s="13"/>
      <c r="D11" s="13"/>
      <c r="E11" s="13"/>
      <c r="F11" s="13"/>
      <c r="G11" s="13"/>
      <c r="H11" s="13"/>
      <c r="I11" s="13"/>
      <c r="J11" s="13"/>
      <c r="K11" s="13"/>
    </row>
    <row r="12" spans="1:11" ht="66" customHeight="1" x14ac:dyDescent="0.35">
      <c r="A12" s="1" t="s">
        <v>423</v>
      </c>
      <c r="B12" s="13" t="s">
        <v>424</v>
      </c>
      <c r="C12" s="13"/>
      <c r="D12" s="13"/>
      <c r="E12" s="13"/>
      <c r="F12" s="13"/>
      <c r="G12" s="13"/>
      <c r="H12" s="13"/>
      <c r="I12" s="13"/>
      <c r="J12" s="13"/>
      <c r="K12" s="13"/>
    </row>
    <row r="13" spans="1:11" ht="66" customHeight="1" x14ac:dyDescent="0.35">
      <c r="A13" s="1" t="s">
        <v>425</v>
      </c>
      <c r="B13" s="13" t="s">
        <v>426</v>
      </c>
      <c r="C13" s="13"/>
      <c r="D13" s="13"/>
      <c r="E13" s="13"/>
      <c r="F13" s="13"/>
      <c r="G13" s="13"/>
      <c r="H13" s="13"/>
      <c r="I13" s="13"/>
      <c r="J13" s="13"/>
      <c r="K13" s="13"/>
    </row>
    <row r="14" spans="1:11" ht="66" customHeight="1" x14ac:dyDescent="0.35">
      <c r="A14" s="1" t="s">
        <v>427</v>
      </c>
      <c r="B14" s="13" t="s">
        <v>428</v>
      </c>
      <c r="C14" s="13"/>
      <c r="D14" s="13"/>
      <c r="E14" s="13"/>
      <c r="F14" s="13"/>
      <c r="G14" s="13"/>
      <c r="H14" s="13"/>
      <c r="I14" s="13"/>
      <c r="J14" s="13"/>
      <c r="K14" s="13"/>
    </row>
  </sheetData>
  <mergeCells count="12">
    <mergeCell ref="B13:K13"/>
    <mergeCell ref="B14:K14"/>
    <mergeCell ref="B8:K8"/>
    <mergeCell ref="B9:K9"/>
    <mergeCell ref="B10:K10"/>
    <mergeCell ref="B11:K11"/>
    <mergeCell ref="B12:K12"/>
    <mergeCell ref="A1:K2"/>
    <mergeCell ref="A3:K3"/>
    <mergeCell ref="B5:K5"/>
    <mergeCell ref="B6:K6"/>
    <mergeCell ref="B7:K7"/>
  </mergeCells>
  <pageMargins left="0.7" right="0.7" top="0.75" bottom="0.75" header="0.3" footer="0.3"/>
  <pageSetup paperSize="9" fitToHeight="0" orientation="landscape"/>
  <headerFooter>
    <oddFooter>&amp;LAI-assisted; sources and assumptions disclosed&amp;R&amp;P / &amp;N</oddFooter>
  </headerFooter>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F00-000000000000}">
  <sheetPr>
    <pageSetUpPr fitToPage="1"/>
  </sheetPr>
  <dimension ref="A1:K27"/>
  <sheetViews>
    <sheetView showGridLines="0" zoomScale="90" zoomScaleNormal="90" workbookViewId="0">
      <pane xSplit="1" ySplit="6" topLeftCell="B7" activePane="bottomRight" state="frozen"/>
      <selection pane="topRight" activeCell="B1" sqref="B1"/>
      <selection pane="bottomLeft" activeCell="A7" sqref="A7"/>
      <selection pane="bottomRight"/>
    </sheetView>
  </sheetViews>
  <sheetFormatPr defaultRowHeight="14.5" x14ac:dyDescent="0.35"/>
  <cols>
    <col min="1" max="1" width="40.7265625" customWidth="1"/>
    <col min="2" max="11" width="14.7265625" customWidth="1"/>
  </cols>
  <sheetData>
    <row r="1" spans="1:11" x14ac:dyDescent="0.35">
      <c r="A1" s="9" t="s">
        <v>16</v>
      </c>
      <c r="B1" s="9"/>
      <c r="C1" s="9"/>
      <c r="D1" s="9"/>
      <c r="E1" s="9"/>
      <c r="F1" s="9"/>
      <c r="G1" s="9"/>
      <c r="H1" s="9"/>
      <c r="I1" s="9"/>
      <c r="J1" s="9"/>
      <c r="K1" s="9"/>
    </row>
    <row r="2" spans="1:11" x14ac:dyDescent="0.35">
      <c r="A2" s="9"/>
      <c r="B2" s="9"/>
      <c r="C2" s="9"/>
      <c r="D2" s="9"/>
      <c r="E2" s="9"/>
      <c r="F2" s="9"/>
      <c r="G2" s="9"/>
      <c r="H2" s="9"/>
      <c r="I2" s="9"/>
      <c r="J2" s="9"/>
      <c r="K2" s="9"/>
    </row>
    <row r="3" spans="1:11" x14ac:dyDescent="0.35">
      <c r="A3" s="10" t="s">
        <v>1</v>
      </c>
      <c r="B3" s="10"/>
      <c r="C3" s="10"/>
      <c r="D3" s="10"/>
      <c r="E3" s="10"/>
      <c r="F3" s="10"/>
      <c r="G3" s="10"/>
      <c r="H3" s="10"/>
      <c r="I3" s="10"/>
      <c r="J3" s="10"/>
      <c r="K3" s="10"/>
    </row>
    <row r="6" spans="1:11" ht="26" customHeight="1" x14ac:dyDescent="0.35">
      <c r="A6" s="2" t="s">
        <v>429</v>
      </c>
      <c r="B6" s="5">
        <f>Bull!B32-(Bull!B27+Bull!B28-Bull!B29-Bull!B31)</f>
        <v>0</v>
      </c>
      <c r="C6" s="2" t="str">
        <f t="shared" ref="C6:C23" si="0">IF(ABS(B6)&lt;0.000001,"PASS","FAIL")</f>
        <v>PASS</v>
      </c>
    </row>
    <row r="7" spans="1:11" ht="26" customHeight="1" x14ac:dyDescent="0.35">
      <c r="A7" s="2" t="s">
        <v>430</v>
      </c>
      <c r="B7" s="5">
        <f>Bull!B62/Bull!B65-Bull!B66</f>
        <v>0</v>
      </c>
      <c r="C7" s="2" t="str">
        <f t="shared" si="0"/>
        <v>PASS</v>
      </c>
    </row>
    <row r="8" spans="1:11" ht="26" customHeight="1" x14ac:dyDescent="0.35">
      <c r="A8" s="2" t="s">
        <v>431</v>
      </c>
      <c r="B8" s="5">
        <f>Bull!D62/Bull!D65-Bull!D66</f>
        <v>0</v>
      </c>
      <c r="C8" s="2" t="str">
        <f t="shared" si="0"/>
        <v>PASS</v>
      </c>
    </row>
    <row r="9" spans="1:11" ht="26" customHeight="1" x14ac:dyDescent="0.35">
      <c r="A9" s="2" t="s">
        <v>432</v>
      </c>
      <c r="B9" s="5">
        <f>Bull!K10-0.25</f>
        <v>0</v>
      </c>
      <c r="C9" s="2" t="str">
        <f t="shared" si="0"/>
        <v>PASS</v>
      </c>
    </row>
    <row r="10" spans="1:11" ht="26" customHeight="1" x14ac:dyDescent="0.35">
      <c r="A10" s="2" t="s">
        <v>433</v>
      </c>
      <c r="B10" s="5">
        <f>Base!B32-(Base!B27+Base!B28-Base!B29-Base!B31)</f>
        <v>0</v>
      </c>
      <c r="C10" s="2" t="str">
        <f t="shared" si="0"/>
        <v>PASS</v>
      </c>
    </row>
    <row r="11" spans="1:11" ht="26" customHeight="1" x14ac:dyDescent="0.35">
      <c r="A11" s="2" t="s">
        <v>434</v>
      </c>
      <c r="B11" s="5">
        <f>Base!B62/Base!B65-Base!B66</f>
        <v>0</v>
      </c>
      <c r="C11" s="2" t="str">
        <f t="shared" si="0"/>
        <v>PASS</v>
      </c>
    </row>
    <row r="12" spans="1:11" ht="26" customHeight="1" x14ac:dyDescent="0.35">
      <c r="A12" s="2" t="s">
        <v>435</v>
      </c>
      <c r="B12" s="5">
        <f>Base!D62/Base!D65-Base!D66</f>
        <v>0</v>
      </c>
      <c r="C12" s="2" t="str">
        <f t="shared" si="0"/>
        <v>PASS</v>
      </c>
    </row>
    <row r="13" spans="1:11" ht="26" customHeight="1" x14ac:dyDescent="0.35">
      <c r="A13" s="2" t="s">
        <v>436</v>
      </c>
      <c r="B13" s="5">
        <f>Base!K10-0.25</f>
        <v>0</v>
      </c>
      <c r="C13" s="2" t="str">
        <f t="shared" si="0"/>
        <v>PASS</v>
      </c>
    </row>
    <row r="14" spans="1:11" ht="26" customHeight="1" x14ac:dyDescent="0.35">
      <c r="A14" s="2" t="s">
        <v>437</v>
      </c>
      <c r="B14" s="5">
        <f>Bear!B32-(Bear!B27+Bear!B28-Bear!B29-Bear!B31)</f>
        <v>0</v>
      </c>
      <c r="C14" s="2" t="str">
        <f t="shared" si="0"/>
        <v>PASS</v>
      </c>
    </row>
    <row r="15" spans="1:11" ht="26" customHeight="1" x14ac:dyDescent="0.35">
      <c r="A15" s="2" t="s">
        <v>438</v>
      </c>
      <c r="B15" s="5">
        <f>Bear!B62/Bear!B65-Bear!B66</f>
        <v>0</v>
      </c>
      <c r="C15" s="2" t="str">
        <f t="shared" si="0"/>
        <v>PASS</v>
      </c>
    </row>
    <row r="16" spans="1:11" ht="26" customHeight="1" x14ac:dyDescent="0.35">
      <c r="A16" s="2" t="s">
        <v>439</v>
      </c>
      <c r="B16" s="5">
        <f>Bear!D62/Bear!D65-Bear!D66</f>
        <v>0</v>
      </c>
      <c r="C16" s="2" t="str">
        <f t="shared" si="0"/>
        <v>PASS</v>
      </c>
    </row>
    <row r="17" spans="1:11" ht="26" customHeight="1" x14ac:dyDescent="0.35">
      <c r="A17" s="2" t="s">
        <v>440</v>
      </c>
      <c r="B17" s="5">
        <f>Bear!K10-0.25</f>
        <v>0</v>
      </c>
      <c r="C17" s="2" t="str">
        <f t="shared" si="0"/>
        <v>PASS</v>
      </c>
    </row>
    <row r="18" spans="1:11" ht="26" customHeight="1" x14ac:dyDescent="0.35">
      <c r="A18" s="2" t="s">
        <v>441</v>
      </c>
      <c r="B18" s="5">
        <f>Sensitivity!D10-Bull!B66</f>
        <v>0</v>
      </c>
      <c r="C18" s="2" t="str">
        <f t="shared" si="0"/>
        <v>PASS</v>
      </c>
    </row>
    <row r="19" spans="1:11" ht="26" customHeight="1" x14ac:dyDescent="0.35">
      <c r="A19" s="2" t="s">
        <v>442</v>
      </c>
      <c r="B19" s="5">
        <f>Sensitivity!D21-Bull!D66</f>
        <v>0</v>
      </c>
      <c r="C19" s="2" t="str">
        <f t="shared" si="0"/>
        <v>PASS</v>
      </c>
    </row>
    <row r="20" spans="1:11" ht="26" customHeight="1" x14ac:dyDescent="0.35">
      <c r="A20" s="2" t="s">
        <v>443</v>
      </c>
      <c r="B20" s="5">
        <f>'Reverse DCF'!B27-Capital!B16</f>
        <v>0</v>
      </c>
      <c r="C20" s="2" t="str">
        <f t="shared" si="0"/>
        <v>PASS</v>
      </c>
    </row>
    <row r="21" spans="1:11" ht="26" customHeight="1" x14ac:dyDescent="0.35">
      <c r="A21" s="2" t="s">
        <v>444</v>
      </c>
      <c r="B21" s="5">
        <f>'Reverse DCF'!B53-Capital!B16</f>
        <v>0</v>
      </c>
      <c r="C21" s="2" t="str">
        <f t="shared" si="0"/>
        <v>PASS</v>
      </c>
    </row>
    <row r="22" spans="1:11" ht="26" customHeight="1" x14ac:dyDescent="0.35">
      <c r="A22" s="2" t="s">
        <v>445</v>
      </c>
      <c r="B22" s="5">
        <f>IF(WACC!B26&gt;WACC!B30,0,1)</f>
        <v>0</v>
      </c>
      <c r="C22" s="2" t="str">
        <f t="shared" si="0"/>
        <v>PASS</v>
      </c>
    </row>
    <row r="23" spans="1:11" ht="26" customHeight="1" x14ac:dyDescent="0.35">
      <c r="A23" s="2" t="s">
        <v>446</v>
      </c>
      <c r="B23" s="5">
        <f>IF(MIN('Bear Liquidity'!B12:K12)&gt;0,0,1)</f>
        <v>0</v>
      </c>
      <c r="C23" s="2" t="str">
        <f t="shared" si="0"/>
        <v>PASS</v>
      </c>
    </row>
    <row r="27" spans="1:11" ht="47" customHeight="1" x14ac:dyDescent="0.35">
      <c r="A27" s="12" t="s">
        <v>447</v>
      </c>
      <c r="B27" s="12"/>
      <c r="C27" s="12"/>
      <c r="D27" s="12"/>
      <c r="E27" s="12"/>
      <c r="F27" s="12"/>
      <c r="G27" s="12"/>
      <c r="H27" s="12"/>
      <c r="I27" s="12"/>
      <c r="J27" s="12"/>
      <c r="K27" s="12"/>
    </row>
  </sheetData>
  <mergeCells count="3">
    <mergeCell ref="A1:K2"/>
    <mergeCell ref="A3:K3"/>
    <mergeCell ref="A27:K27"/>
  </mergeCells>
  <pageMargins left="0.7" right="0.7" top="0.75" bottom="0.75" header="0.3" footer="0.3"/>
  <pageSetup paperSize="9" fitToHeight="0" orientation="landscape"/>
  <headerFooter>
    <oddFooter>&amp;LAI-assisted; sources and assumptions disclosed&amp;R&amp;P / &amp;N</oddFooter>
  </headerFooter>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16</vt:i4>
      </vt:variant>
      <vt:variant>
        <vt:lpstr>Named Ranges</vt:lpstr>
      </vt:variant>
      <vt:variant>
        <vt:i4>3</vt:i4>
      </vt:variant>
    </vt:vector>
  </HeadingPairs>
  <TitlesOfParts>
    <vt:vector size="19" baseType="lpstr">
      <vt:lpstr>Summary</vt:lpstr>
      <vt:lpstr>Assumptions</vt:lpstr>
      <vt:lpstr>Segments</vt:lpstr>
      <vt:lpstr>Bull</vt:lpstr>
      <vt:lpstr>Base</vt:lpstr>
      <vt:lpstr>Bear</vt:lpstr>
      <vt:lpstr>WACC</vt:lpstr>
      <vt:lpstr>Capital</vt:lpstr>
      <vt:lpstr>Sensitivity</vt:lpstr>
      <vt:lpstr>Reverse DCF</vt:lpstr>
      <vt:lpstr>Fear Unwind</vt:lpstr>
      <vt:lpstr>Comps</vt:lpstr>
      <vt:lpstr>Bear Liquidity</vt:lpstr>
      <vt:lpstr>Sources</vt:lpstr>
      <vt:lpstr>AI and Q&amp;A</vt:lpstr>
      <vt:lpstr>Checks</vt:lpstr>
      <vt:lpstr>Base!Print_Area</vt:lpstr>
      <vt:lpstr>Bear!Print_Area</vt:lpstr>
      <vt:lpstr>Bull!Print_Area</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LITE | 3–6 month fear-unwind valuation</dc:title>
  <dc:creator>Competition team, AI-assisted</dc:creator>
  <cp:lastModifiedBy>Aradhya Jain</cp:lastModifiedBy>
  <dcterms:created xsi:type="dcterms:W3CDTF">2026-09-18T14:49:03Z</dcterms:created>
  <dcterms:modified xsi:type="dcterms:W3CDTF">2026-09-18T14:50:09Z</dcterms:modified>
</cp:coreProperties>
</file>