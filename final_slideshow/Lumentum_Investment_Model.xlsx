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2a0873e8b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75147af53d4a7d"/>
    <x:sheet xmlns:r="http://schemas.openxmlformats.org/officeDocument/2006/relationships" name="Assumptions" sheetId="2" r:id="R99381da5f00d4d6c"/>
    <x:sheet xmlns:r="http://schemas.openxmlformats.org/officeDocument/2006/relationships" name="Quarterly" sheetId="3" r:id="R81948c6f98b84cb9"/>
    <x:sheet xmlns:r="http://schemas.openxmlformats.org/officeDocument/2006/relationships" name="DCF" sheetId="4" r:id="Ra4bb374aea7347b2"/>
    <x:sheet xmlns:r="http://schemas.openxmlformats.org/officeDocument/2006/relationships" name="Comps" sheetId="5" r:id="R51044b8588c847e1"/>
    <x:sheet xmlns:r="http://schemas.openxmlformats.org/officeDocument/2006/relationships" name="Actuals" sheetId="6" r:id="Rbbe4ed4f98c248ef"/>
    <x:sheet xmlns:r="http://schemas.openxmlformats.org/officeDocument/2006/relationships" name="Evidence" sheetId="7" r:id="Rb4d9833f9f4d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;(#,##0.0);&quot;—&quot;"/>
    <x:numFmt numFmtId="201" formatCode="0.0%;(0.0%);&quot;—&quot;"/>
    <x:numFmt numFmtId="202" formatCode="0.00"/>
  </x:numFmts>
  <x:fonts count="13">
    <x:font>
      <x:sz val="11"/>
      <x:name val="Carlito"/>
    </x:font>
    <x:font>
      <x:sz val="10"/>
      <x:color rgb="FF17243B"/>
      <x:name val="Arial"/>
    </x:font>
    <x:font>
      <x:b/>
      <x:sz val="15"/>
      <x:color rgb="FF17243B"/>
      <x:name val="Arial"/>
    </x:font>
    <x:font>
      <x:sz val="10"/>
      <x:color rgb="FF00804A"/>
      <x:name val="Arial"/>
    </x:font>
    <x:font>
      <x:sz val="10"/>
      <x:color rgb="FF000000"/>
      <x:name val="Arial"/>
    </x:font>
    <x:font>
      <x:b/>
      <x:sz val="10"/>
      <x:color rgb="FFFFFFFF"/>
      <x:name val="Arial"/>
    </x:font>
    <x:font>
      <x:sz val="10"/>
      <x:color rgb="FF596579"/>
      <x:name val="Arial"/>
    </x:font>
    <x:font>
      <x:sz val="10"/>
      <x:color rgb="FF0000FF"/>
      <x:name val="Arial"/>
    </x:font>
    <x:font>
      <x:i/>
      <x:sz val="10"/>
      <x:color rgb="FF17243B"/>
      <x:name val="Arial"/>
    </x:font>
    <x:font>
      <x:i/>
      <x:sz val="10"/>
      <x:color rgb="FF00804A"/>
      <x:name val="Arial"/>
    </x:font>
    <x:font>
      <x:i/>
      <x:sz val="10"/>
      <x:color rgb="FF000000"/>
      <x:name val="Arial"/>
    </x:font>
    <x:font>
      <x:b/>
      <x:sz val="10"/>
      <x:color rgb="FF17243B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60"/>
      </x:patternFill>
    </x:fill>
    <x:fill>
      <x:patternFill patternType="solid">
        <x:fgColor rgb="FFE7EEF6"/>
      </x:patternFill>
    </x:fill>
  </x:fills>
  <x:borders count="4">
    <x:border/>
    <x:border>
      <x:bottom style="thin">
        <x:color rgb="FFAEBCCB"/>
      </x:bottom>
    </x:border>
    <x:border>
      <x:left style="dotted">
        <x:color rgb="FFAEBCCB"/>
      </x:left>
      <x:top style="dotted">
        <x:color rgb="FFAEBCCB"/>
      </x:top>
      <x:bottom style="dotted">
        <x:color rgb="FFAEBCCB"/>
      </x:bottom>
    </x:border>
    <x:border>
      <x:right style="dotted">
        <x:color rgb="FFAEBCCB"/>
      </x:right>
      <x:top style="dotted">
        <x:color rgb="FFAEBCCB"/>
      </x:top>
      <x:bottom style="dotted">
        <x:color rgb="FFAEBCCB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5" fillId="2" borderId="0" xfId="0" applyNumberFormat="1" applyFont="1" applyFill="1" applyBorder="1"/>
    <x:xf numFmtId="200" fontId="5" fillId="2" borderId="0" xfId="0" applyNumberFormat="1" applyFont="1" applyFill="1" applyBorder="1"/>
    <x:xf numFmtId="201" fontId="1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0" fontId="4" fillId="0" borderId="0" xfId="0" applyNumberFormat="1" applyFont="1" applyFill="1" applyBorder="1"/>
    <x:xf numFmtId="200" fontId="7" fillId="0" borderId="0" xfId="0" applyNumberFormat="1" applyFont="1" applyFill="1" applyBorder="1"/>
    <x:xf numFmtId="201" fontId="4" fillId="0" borderId="0" xfId="0" applyNumberFormat="1" applyFont="1" applyFill="1" applyBorder="1"/>
    <x:xf numFmtId="201" fontId="7" fillId="0" borderId="0" xfId="0" applyNumberFormat="1" applyFont="1" applyFill="1" applyBorder="1"/>
    <x:xf numFmtId="0" fontId="1" fillId="3" borderId="0" xfId="0" applyNumberFormat="1" applyFont="1" applyFill="1" applyBorder="1"/>
    <x:xf numFmtId="201" fontId="4" fillId="3" borderId="0" xfId="0" applyNumberFormat="1" applyFont="1" applyFill="1" applyBorder="1"/>
    <x:xf numFmtId="200" fontId="1" fillId="3" borderId="0" xfId="0" applyNumberFormat="1" applyFont="1" applyFill="1" applyBorder="1"/>
    <x:xf numFmtId="200" fontId="4" fillId="3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4" fillId="0" borderId="0" xfId="0" applyNumberFormat="1" applyFont="1" applyFill="1" applyBorder="1"/>
    <x:xf numFmtId="202" fontId="3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201" fontId="9" fillId="0" borderId="0" xfId="0" applyNumberFormat="1" applyFont="1" applyFill="1" applyBorder="1"/>
    <x:xf numFmtId="201" fontId="8" fillId="0" borderId="0" xfId="0" applyNumberFormat="1" applyFont="1" applyFill="1" applyBorder="1"/>
    <x:xf numFmtId="201" fontId="10" fillId="0" borderId="0" xfId="0" applyNumberFormat="1" applyFont="1" applyFill="1" applyBorder="1"/>
    <x:xf numFmtId="200" fontId="8" fillId="0" borderId="0" xfId="0" applyNumberFormat="1" applyFont="1" applyFill="1" applyBorder="1"/>
    <x:xf numFmtId="202" fontId="7" fillId="0" borderId="0" xfId="0" applyNumberFormat="1" applyFont="1" applyFill="1" applyBorder="1"/>
    <x:xf numFmtId="0" fontId="1" fillId="0" borderId="1" xfId="0" applyNumberFormat="1" applyFont="1" applyFill="1" applyBorder="1"/>
    <x:xf numFmtId="200" fontId="4" fillId="0" borderId="1" xfId="0" applyNumberFormat="1" applyFont="1" applyFill="1" applyBorder="1"/>
    <x:xf numFmtId="0" fontId="11" fillId="0" borderId="1" xfId="0" applyNumberFormat="1" applyFont="1" applyFill="1" applyBorder="1"/>
    <x:xf numFmtId="200" fontId="12" fillId="0" borderId="1" xfId="0" applyNumberFormat="1" applyFont="1" applyFill="1" applyBorder="1"/>
    <x:xf numFmtId="202" fontId="4" fillId="0" borderId="1" xfId="0" applyNumberFormat="1" applyFont="1" applyFill="1" applyBorder="1"/>
    <x:xf numFmtId="202" fontId="12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4" fillId="0" borderId="3" xfId="0" applyNumberFormat="1" applyFont="1" applyFill="1" applyBorder="1"/>
    <x:xf numFmtId="0" fontId="7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f7d12b48843bf" /><Relationship Type="http://schemas.openxmlformats.org/officeDocument/2006/relationships/theme" Target="/xl/theme/theme1.xml" Id="Rdb919eebd84f4014" /><Relationship Type="http://schemas.openxmlformats.org/officeDocument/2006/relationships/sharedStrings" Target="/xl/sharedStrings.xml" Id="R141b6252d48f47f2" /><Relationship Type="http://schemas.openxmlformats.org/officeDocument/2006/relationships/worksheet" Target="/xl/worksheets/sheet1.xml" Id="Rc375147af53d4a7d" /><Relationship Type="http://schemas.openxmlformats.org/officeDocument/2006/relationships/worksheet" Target="/xl/worksheets/sheet2.xml" Id="R99381da5f00d4d6c" /><Relationship Type="http://schemas.openxmlformats.org/officeDocument/2006/relationships/worksheet" Target="/xl/worksheets/sheet3.xml" Id="R81948c6f98b84cb9" /><Relationship Type="http://schemas.openxmlformats.org/officeDocument/2006/relationships/worksheet" Target="/xl/worksheets/sheet4.xml" Id="Ra4bb374aea7347b2" /><Relationship Type="http://schemas.openxmlformats.org/officeDocument/2006/relationships/worksheet" Target="/xl/worksheets/sheet5.xml" Id="R51044b8588c847e1" /><Relationship Type="http://schemas.openxmlformats.org/officeDocument/2006/relationships/worksheet" Target="/xl/worksheets/sheet6.xml" Id="Rbbe4ed4f98c248ef" /><Relationship Type="http://schemas.openxmlformats.org/officeDocument/2006/relationships/worksheet" Target="/xl/worksheets/sheet7.xml" Id="Rb4d9833f9f4d49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B6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1" hidden="0" customWidth="1"/>
    <x:col min="4" max="4" width="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1" customHeight="1">
      <x:c r="A2" s="1"/>
      <x:c r="B2" s="1"/>
      <x:c r="C2" s="3" t="str">
        <x:v>Lumentum | Summary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1"/>
      <x:c r="R2" s="1"/>
    </x:row>
    <x:row r="3" ht="21" customHeight="1">
      <x:c r="A3" s="1"/>
      <x:c r="B3" s="1"/>
      <x:c r="C3" s="1" t="str">
        <x:v>USD millions, except EPS and share prices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1" customHeight="1">
      <x:c r="A4" s="1"/>
      <x:c r="B4" s="1"/>
      <x:c r="C4" s="1" t="str">
        <x:v>Case selected</x:v>
      </x:c>
      <x:c r="D4" s="1"/>
      <x:c r="E4" s="40" t="str">
        <x:f>'Assumptions'!F4</x:f>
        <x:v>Base</x:v>
      </x:c>
      <x:c r="F4" s="4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23" customHeight="1">
      <x:c r="A6" s="1"/>
      <x:c r="B6" s="1"/>
      <x:c r="C6" s="8" t="str">
        <x:v>Selected-case results</x:v>
      </x:c>
      <x:c r="D6" s="8"/>
      <x:c r="E6" s="9"/>
      <x:c r="F6" s="9"/>
      <x:c r="G6" s="9"/>
      <x:c r="H6" s="9"/>
      <x:c r="I6" s="9"/>
      <x:c r="J6" s="9"/>
      <x:c r="K6" s="9"/>
      <x:c r="L6" s="2"/>
      <x:c r="M6" s="2"/>
      <x:c r="N6" s="2"/>
      <x:c r="O6" s="2"/>
      <x:c r="P6" s="2"/>
      <x:c r="Q6" s="1"/>
      <x:c r="R6" s="1"/>
    </x:row>
    <x:row r="7" ht="21" customHeight="1">
      <x:c r="A7" s="1"/>
      <x:c r="B7" s="1"/>
      <x:c r="C7" s="1"/>
      <x:c r="D7" s="1"/>
      <x:c r="E7" s="2" t="str">
        <x:v>FY:27</x:v>
      </x:c>
      <x:c r="F7" s="2" t="str">
        <x:v>FY:28</x:v>
      </x:c>
      <x:c r="G7" s="2" t="str"/>
      <x:c r="H7" s="2"/>
      <x:c r="I7" s="2"/>
      <x:c r="J7" s="2"/>
      <x:c r="K7" s="2"/>
      <x:c r="L7" s="2"/>
      <x:c r="M7" s="2"/>
      <x:c r="N7" s="2"/>
      <x:c r="O7" s="2"/>
      <x:c r="P7" s="2"/>
      <x:c r="Q7" s="1"/>
      <x:c r="R7" s="1"/>
    </x:row>
    <x:row r="8" ht="21" customHeight="1">
      <x:c r="A8" s="1"/>
      <x:c r="B8" s="1"/>
      <x:c r="C8" s="1" t="str">
        <x:v>Revenue</x:v>
      </x:c>
      <x:c r="D8" s="1"/>
      <x:c r="E8" s="2" t="n">
        <x:f>'DCF'!E10</x:f>
        <x:v>6100.681933511029</x:v>
      </x:c>
      <x:c r="F8" s="2" t="n">
        <x:f>'DCF'!F10</x:f>
        <x:v>8960.534814272181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1"/>
      <x:c r="R8" s="1"/>
    </x:row>
    <x:row r="9" ht="21" customHeight="1">
      <x:c r="A9" s="1"/>
      <x:c r="B9" s="1"/>
      <x:c r="C9" s="1" t="str">
        <x:v>Adjusted operating profit</x:v>
      </x:c>
      <x:c r="D9" s="1"/>
      <x:c r="E9" s="2" t="n">
        <x:f>'DCF'!E17</x:f>
        <x:v>2619.928595659014</x:v>
      </x:c>
      <x:c r="F9" s="2" t="n">
        <x:f>'DCF'!F17</x:f>
        <x:v>4107.307407136092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1"/>
      <x:c r="R9" s="1"/>
    </x:row>
    <x:row r="10" ht="21" customHeight="1">
      <x:c r="A10" s="1"/>
      <x:c r="B10" s="1"/>
      <x:c r="C10" s="28" t="str">
        <x:v>Adjusted operating margin</x:v>
      </x:c>
      <x:c r="D10" s="28"/>
      <x:c r="E10" s="30" t="n">
        <x:f>'DCF'!E18</x:f>
        <x:v>0.4294484820242395</x:v>
      </x:c>
      <x:c r="F10" s="30" t="n">
        <x:f>'DCF'!F18</x:f>
        <x:v>0.45837748441019893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1"/>
      <x:c r="R10" s="1"/>
    </x:row>
    <x:row r="11" ht="21" customHeight="1">
      <x:c r="A11" s="1"/>
      <x:c r="B11" s="1"/>
      <x:c r="C11" s="1" t="str">
        <x:v>Adjusted EPS</x:v>
      </x:c>
      <x:c r="D11" s="1"/>
      <x:c r="E11" s="25" t="n">
        <x:f>'DCF'!E20</x:f>
        <x:v>21.832738297158446</x:v>
      </x:c>
      <x:c r="F11" s="25" t="n">
        <x:f>'DCF'!F20</x:f>
        <x:v>33.422207332578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1"/>
      <x:c r="R11" s="1"/>
    </x:row>
    <x:row r="12" ht="21" customHeight="1">
      <x:c r="A12" s="1"/>
      <x:c r="B12" s="1"/>
      <x:c r="C12" s="1" t="str">
        <x:v>Economic unlevered FCF</x:v>
      </x:c>
      <x:c r="D12" s="1"/>
      <x:c r="E12" s="2" t="n">
        <x:f>'DCF'!E38</x:f>
        <x:v>939.7786163859703</x:v>
      </x:c>
      <x:c r="F12" s="2" t="n">
        <x:f>'DCF'!F38</x:f>
        <x:v>1716.1391260382704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1"/>
      <x:c r="R12" s="1"/>
    </x:row>
    <x:row r="13" ht="21" customHeight="1">
      <x:c r="A13" s="1"/>
      <x:c r="B13" s="1"/>
      <x:c r="C13" s="1"/>
      <x:c r="D13" s="1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1"/>
      <x:c r="R13" s="1"/>
    </x:row>
    <x:row r="14" ht="21" customHeight="1">
      <x:c r="A14" s="1"/>
      <x:c r="B14" s="1"/>
      <x:c r="C14" s="1"/>
      <x:c r="D14" s="1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1"/>
      <x:c r="R14" s="1"/>
    </x:row>
    <x:row r="15" ht="21" customHeight="1">
      <x:c r="A15" s="1"/>
      <x:c r="B15" s="1"/>
      <x:c r="C15" s="1" t="str">
        <x:v>Reference price (Sep 17)</x:v>
      </x:c>
      <x:c r="D15" s="1"/>
      <x:c r="E15" s="25" t="n">
        <x:f>'Actuals'!F29</x:f>
        <x:v>893.61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1"/>
      <x:c r="R15" s="1"/>
    </x:row>
    <x:row r="16" ht="21" customHeight="1">
      <x:c r="A16" s="1"/>
      <x:c r="B16" s="1"/>
      <x:c r="C16" s="1" t="str">
        <x:v>DCF value (Jun 27 anchor)</x:v>
      </x:c>
      <x:c r="D16" s="1"/>
      <x:c r="E16" s="25" t="n">
        <x:f>'DCF'!E56</x:f>
        <x:v>545.3637422087804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1"/>
      <x:c r="R16" s="1"/>
    </x:row>
    <x:row r="17" ht="21" customHeight="1">
      <x:c r="A17" s="1"/>
      <x:c r="B17" s="1"/>
      <x:c r="C17" s="28" t="str">
        <x:v>DCF return vs price</x:v>
      </x:c>
      <x:c r="D17" s="28"/>
      <x:c r="E17" s="30" t="n">
        <x:f>'DCF'!E57</x:f>
        <x:v>-0.38970720760871025</x:v>
      </x:c>
      <x:c r="F17" s="3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1"/>
      <x:c r="R17" s="1"/>
    </x:row>
    <x:row r="18" ht="21" customHeight="1">
      <x:c r="A18" s="1"/>
      <x:c r="B18" s="1"/>
      <x:c r="C18" s="1" t="str">
        <x:v>12-month P/E value</x:v>
      </x:c>
      <x:c r="D18" s="1"/>
      <x:c r="E18" s="25" t="n">
        <x:f>'DCF'!E67</x:f>
        <x:v>1002.6662199773399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1"/>
      <x:c r="R18" s="1"/>
    </x:row>
    <x:row r="19" ht="21" customHeight="1">
      <x:c r="A19" s="1"/>
      <x:c r="B19" s="1"/>
      <x:c r="C19" s="28" t="str">
        <x:v>12-month return</x:v>
      </x:c>
      <x:c r="D19" s="28"/>
      <x:c r="E19" s="30" t="n">
        <x:f>'DCF'!E68</x:f>
        <x:v>0.12204006219417862</x:v>
      </x:c>
      <x:c r="F19" s="3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1"/>
      <x:c r="R19" s="1"/>
    </x:row>
    <x:row r="20" ht="21" customHeight="1">
      <x:c r="A20" s="1"/>
      <x:c r="B20" s="1"/>
      <x:c r="C20" s="28" t="str">
        <x:v>Terminal share of DCF EV</x:v>
      </x:c>
      <x:c r="D20" s="28"/>
      <x:c r="E20" s="30" t="n">
        <x:f>'DCF'!E58</x:f>
        <x:v>0.7179337192012855</x:v>
      </x:c>
      <x:c r="F20" s="3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1"/>
      <x:c r="R20" s="1"/>
    </x:row>
    <x:row r="21" ht="21" customHeight="1">
      <x:c r="A21" s="1"/>
      <x:c r="B21" s="1"/>
      <x:c r="C21" s="28" t="str">
        <x:v>FY27 EPS vs August consensus</x:v>
      </x:c>
      <x:c r="D21" s="28"/>
      <x:c r="E21" s="30" t="n">
        <x:f>E11/'Actuals'!F30-1</x:f>
        <x:v>0.007509842969932734</x:v>
      </x:c>
      <x:c r="F21" s="3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1"/>
      <x:c r="R21" s="1"/>
    </x:row>
    <x:row r="22" ht="21" customHeight="1">
      <x:c r="A22" s="1"/>
      <x:c r="B22" s="1"/>
      <x:c r="C22" s="1"/>
      <x:c r="D22" s="1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1"/>
      <x:c r="R22" s="1"/>
    </x:row>
    <x:row r="23" ht="21" customHeight="1">
      <x:c r="A23" s="1"/>
      <x:c r="B23" s="1"/>
      <x:c r="C23" s="1"/>
      <x:c r="D23" s="1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1"/>
      <x:c r="R23" s="1"/>
    </x:row>
    <x:row r="24" ht="23" customHeight="1">
      <x:c r="A24" s="1"/>
      <x:c r="B24" s="1"/>
      <x:c r="C24" s="8" t="str">
        <x:v>Investment interpretation</x:v>
      </x:c>
      <x:c r="D24" s="8"/>
      <x:c r="E24" s="9"/>
      <x:c r="F24" s="9"/>
      <x:c r="G24" s="9"/>
      <x:c r="H24" s="9"/>
      <x:c r="I24" s="9"/>
      <x:c r="J24" s="9"/>
      <x:c r="K24" s="9"/>
      <x:c r="L24" s="2"/>
      <x:c r="M24" s="2"/>
      <x:c r="N24" s="2"/>
      <x:c r="O24" s="2"/>
      <x:c r="P24" s="2"/>
      <x:c r="Q24" s="1"/>
      <x:c r="R24" s="1"/>
    </x:row>
    <x:row r="25" ht="21" customHeight="1">
      <x:c r="A25" s="1"/>
      <x:c r="B25" s="1"/>
      <x:c r="C25" s="1"/>
      <x:c r="D25" s="1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1"/>
      <x:c r="R25" s="1"/>
    </x:row>
    <x:row r="26" ht="21" customHeight="1">
      <x:c r="A26" s="1"/>
      <x:c r="B26" s="1"/>
      <x:c r="C26" s="11" t="str">
        <x:v>A long requires optical-content growth and execution. Unchanged AI spending alone is insufficient.</x:v>
      </x:c>
      <x:c r="D26" s="11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"/>
      <x:c r="R26" s="1"/>
    </x:row>
    <x:row r="27" ht="21" customHeight="1">
      <x:c r="A27" s="1"/>
      <x:c r="B27" s="1"/>
      <x:c r="C27" s="11" t="str">
        <x:v>Purchase commitments reduce some demand uncertainty, not yield, capacity or valuation risk.</x:v>
      </x:c>
      <x:c r="D27" s="11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"/>
      <x:c r="R27" s="1"/>
    </x:row>
    <x:row r="28" ht="21" customHeight="1">
      <x:c r="A28" s="1"/>
      <x:c r="B28" s="1"/>
      <x:c r="C28" s="11" t="str">
        <x:v>Base and bull are constructed scenarios; product-specific revenue and ASPs are not disclosed.</x:v>
      </x:c>
      <x:c r="D28" s="11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"/>
      <x:c r="R28" s="1"/>
    </x:row>
    <x:row r="29" ht="21" customHeight="1">
      <x:c r="A29" s="1"/>
      <x:c r="B29" s="1"/>
      <x:c r="C29" s="11" t="str">
        <x:v>Select 1, 2 or 3 on Assumptions to recalculate the same model. No fixed scenario snapshots in this file.</x:v>
      </x:c>
      <x:c r="D29" s="11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"/>
      <x:c r="R29" s="1"/>
    </x:row>
    <x:row r="30" ht="21" customHeight="1">
      <x:c r="A30" s="1"/>
      <x:c r="B30" s="1"/>
      <x:c r="C30" s="11" t="str">
        <x:v>The price target is a multiple scenario, not a DCF output. Both are shown without forcing agreement.</x:v>
      </x:c>
      <x:c r="D30" s="11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"/>
      <x:c r="R30" s="1"/>
    </x:row>
    <x:row r="31" ht="21" customHeight="1">
      <x:c r="A31" s="1"/>
      <x:c r="B31" s="1"/>
      <x:c r="C31" s="11" t="str">
        <x:v>Quarter 1: verify revenue $1.225–1.275bn and adjusted operating margin 39.5–40.5%.</x:v>
      </x:c>
      <x:c r="D31" s="11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"/>
      <x:c r="R31" s="1"/>
    </x:row>
    <x:row r="32" ht="21" customHeight="1">
      <x:c r="A32" s="1"/>
      <x:c r="B32" s="1"/>
      <x:c r="C32" s="11" t="str">
        <x:v>Next two quarters: test product ramps, gross margin, shipment capacity and customer order changes.</x:v>
      </x:c>
      <x:c r="D32" s="11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"/>
      <x:c r="R32" s="1"/>
    </x:row>
    <x:row r="33" ht="21" customHeight="1">
      <x:c r="A33" s="1"/>
      <x:c r="B33" s="1"/>
      <x:c r="C33" s="11" t="str">
        <x:v>By 6–12 months: test FY28 earnings visibility, inventory conversion and factory spending.</x:v>
      </x:c>
      <x:c r="D33" s="11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"/>
      <x:c r="R33" s="1"/>
    </x:row>
    <x:row r="34" ht="21" customHeight="1">
      <x:c r="A34" s="1"/>
      <x:c r="B34" s="1"/>
      <x:c r="C34" s="11" t="str">
        <x:v>Invalidate the bull case if shipments miss while inventories rise, or margins weaken despite growth.</x:v>
      </x:c>
      <x:c r="D34" s="11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"/>
      <x:c r="R34" s="1"/>
    </x:row>
    <x:row r="35" ht="21" customHeight="1">
      <x:c r="A35" s="1"/>
      <x:c r="B35" s="1"/>
      <x:c r="C35" s="1"/>
      <x:c r="D35" s="1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1"/>
      <x:c r="R35" s="1"/>
    </x:row>
    <x:row r="36" ht="21" customHeight="1">
      <x:c r="A36" s="1"/>
      <x:c r="B36" s="1"/>
      <x:c r="C36" s="1"/>
      <x:c r="D36" s="1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1"/>
      <x:c r="R36" s="1"/>
    </x:row>
    <x:row r="37" ht="21" customHeight="1">
      <x:c r="A37" s="1"/>
      <x:c r="B37" s="1"/>
      <x:c r="C37" s="1"/>
      <x:c r="D37" s="1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1"/>
      <x:c r="R37" s="1"/>
    </x:row>
    <x:row r="38" ht="21" customHeight="1">
      <x:c r="A38" s="1"/>
      <x:c r="B38" s="1"/>
      <x:c r="C38" s="1"/>
      <x:c r="D38" s="1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1"/>
      <x:c r="R38" s="1"/>
    </x:row>
    <x:row r="39" ht="21" customHeight="1">
      <x:c r="A39" s="1"/>
      <x:c r="B39" s="1"/>
      <x:c r="C39" s="1"/>
      <x:c r="D39" s="1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1"/>
      <x:c r="R39" s="1"/>
    </x:row>
    <x:row r="40" ht="21" customHeight="1">
      <x:c r="A40" s="1"/>
      <x:c r="B40" s="1"/>
      <x:c r="C40" s="1"/>
      <x:c r="D40" s="1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1"/>
      <x:c r="R40" s="1"/>
    </x:row>
    <x:row r="41" ht="21" customHeight="1">
      <x:c r="A41" s="1"/>
      <x:c r="B41" s="1"/>
      <x:c r="C41" s="1"/>
      <x:c r="D41" s="1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1"/>
      <x:c r="R41" s="1"/>
    </x:row>
    <x:row r="42" ht="21" customHeight="1">
      <x:c r="A42" s="1"/>
      <x:c r="B42" s="1"/>
      <x:c r="C42" s="1"/>
      <x:c r="D42" s="1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1"/>
      <x:c r="R42" s="1"/>
    </x:row>
    <x:row r="43" ht="21" customHeight="1">
      <x:c r="A43" s="1"/>
      <x:c r="B43" s="1"/>
      <x:c r="C43" s="1"/>
      <x:c r="D43" s="1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1"/>
      <x:c r="R43" s="1"/>
    </x:row>
    <x:row r="44" ht="21" customHeight="1">
      <x:c r="A44" s="1"/>
      <x:c r="B44" s="1"/>
      <x:c r="C44" s="1"/>
      <x:c r="D44" s="1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1"/>
      <x:c r="R44" s="1"/>
    </x:row>
    <x:row r="45" ht="21" customHeight="1">
      <x:c r="A45" s="1"/>
      <x:c r="B45" s="1"/>
      <x:c r="C45" s="1"/>
      <x:c r="D45" s="1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1"/>
      <x:c r="R45" s="1"/>
    </x:row>
    <x:row r="46" ht="21" customHeight="1">
      <x:c r="A46" s="1"/>
      <x:c r="B46" s="1"/>
      <x:c r="C46" s="1"/>
      <x:c r="D46" s="1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1"/>
      <x:c r="R46" s="1"/>
    </x:row>
    <x:row r="47" ht="21" customHeight="1">
      <x:c r="A47" s="1"/>
      <x:c r="B47" s="1"/>
      <x:c r="C47" s="1"/>
      <x:c r="D47" s="1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1"/>
      <x:c r="R47" s="1"/>
    </x:row>
    <x:row r="48" ht="21" customHeight="1">
      <x:c r="A48" s="1"/>
      <x:c r="B48" s="1"/>
      <x:c r="C48" s="1"/>
      <x:c r="D48" s="1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1"/>
      <x:c r="R48" s="1"/>
    </x:row>
    <x:row r="49" ht="21" customHeight="1">
      <x:c r="A49" s="1"/>
      <x:c r="B49" s="1"/>
      <x:c r="C49" s="1"/>
      <x:c r="D49" s="1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1"/>
      <x:c r="R49" s="1"/>
    </x:row>
    <x:row r="50" ht="21" customHeight="1">
      <x:c r="A50" s="1"/>
      <x:c r="B50" s="1"/>
      <x:c r="C50" s="1"/>
      <x:c r="D50" s="1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1"/>
      <x:c r="R50" s="1"/>
    </x:row>
    <x:row r="51" ht="21" customHeight="1">
      <x:c r="A51" s="1"/>
      <x:c r="B51" s="1"/>
      <x:c r="C51" s="1"/>
      <x:c r="D51" s="1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1"/>
      <x:c r="R51" s="1"/>
    </x:row>
    <x:row r="52" ht="21" customHeight="1">
      <x:c r="A52" s="1"/>
      <x:c r="B52" s="1"/>
      <x:c r="C52" s="1"/>
      <x:c r="D52" s="1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1"/>
      <x:c r="R52" s="1"/>
    </x:row>
    <x:row r="53" ht="21" customHeight="1">
      <x:c r="A53" s="1"/>
      <x:c r="B53" s="1"/>
      <x:c r="C53" s="1"/>
      <x:c r="D53" s="1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1"/>
      <x:c r="R53" s="1"/>
    </x:row>
    <x:row r="54" ht="21" customHeight="1">
      <x:c r="A54" s="1"/>
      <x:c r="B54" s="1"/>
      <x:c r="C54" s="1"/>
      <x:c r="D54" s="1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1"/>
      <x:c r="R54" s="1"/>
    </x:row>
    <x:row r="55" ht="21" customHeight="1">
      <x:c r="A55" s="1"/>
      <x:c r="B55" s="1"/>
      <x:c r="C55" s="1"/>
      <x:c r="D55" s="1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1"/>
      <x:c r="R55" s="1"/>
    </x:row>
    <x:row r="56" ht="21" customHeight="1">
      <x:c r="A56" s="1"/>
      <x:c r="B56" s="1"/>
      <x:c r="C56" s="1"/>
      <x:c r="D56" s="1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1"/>
      <x:c r="R56" s="1"/>
    </x:row>
    <x:row r="57" ht="21" customHeight="1">
      <x:c r="A57" s="1"/>
      <x:c r="B57" s="1"/>
      <x:c r="C57" s="1"/>
      <x:c r="D57" s="1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1"/>
      <x:c r="R57" s="1"/>
    </x:row>
    <x:row r="58" ht="21" customHeight="1">
      <x:c r="A58" s="1"/>
      <x:c r="B58" s="1"/>
      <x:c r="C58" s="1"/>
      <x:c r="D58" s="1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1"/>
      <x:c r="R58" s="1"/>
    </x:row>
    <x:row r="59" ht="21" customHeight="1">
      <x:c r="A59" s="1"/>
      <x:c r="B59" s="1"/>
      <x:c r="C59" s="1"/>
      <x:c r="D59" s="1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1"/>
      <x:c r="R59" s="1"/>
    </x:row>
    <x:row r="60" ht="21" customHeight="1">
      <x:c r="A60" s="1"/>
      <x:c r="B60" s="1"/>
      <x:c r="C60" s="1"/>
      <x:c r="D60" s="1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1"/>
      <x:c r="R60" s="1"/>
    </x:row>
    <x:row r="61" ht="21" customHeight="1">
      <x:c r="A61" s="1"/>
      <x:c r="B61" s="1"/>
      <x:c r="C61" s="1"/>
      <x:c r="D61" s="1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1"/>
      <x:c r="R61" s="1"/>
    </x:row>
    <x:row r="62" ht="21" customHeight="1">
      <x:c r="A62" s="1"/>
      <x:c r="B62" s="1"/>
      <x:c r="C62" s="1"/>
      <x:c r="D62" s="1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1"/>
      <x:c r="R62" s="1"/>
    </x:row>
    <x:row r="63" ht="21" customHeight="1">
      <x:c r="A63" s="1"/>
      <x:c r="B63" s="1"/>
      <x:c r="C63" s="1"/>
      <x:c r="D63" s="1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1"/>
      <x:c r="R63" s="1"/>
    </x:row>
    <x:row r="64" ht="21" customHeight="1">
      <x:c r="A64" s="1"/>
      <x:c r="B64" s="1"/>
      <x:c r="C64" s="1"/>
      <x:c r="D64" s="1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1"/>
      <x:c r="R64" s="1"/>
    </x:row>
    <x:row r="65" ht="21" customHeight="1">
      <x:c r="A65" s="1"/>
      <x:c r="B65" s="1"/>
      <x:c r="C65" s="1"/>
      <x:c r="D65" s="1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1"/>
      <x:c r="R65" s="1"/>
    </x:row>
    <x:row r="66" ht="21" customHeight="1">
      <x:c r="A66" s="1"/>
      <x:c r="B66" s="1"/>
      <x:c r="C66" s="1"/>
      <x:c r="D66" s="1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1"/>
      <x:c r="R66" s="1"/>
    </x:row>
    <x:row r="67" ht="21" customHeight="1">
      <x:c r="A67" s="1"/>
      <x:c r="B67" s="1"/>
      <x:c r="C67" s="1"/>
      <x:c r="D67" s="1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1"/>
      <x:c r="R67" s="1"/>
    </x:row>
    <x:row r="68" ht="21" customHeight="1">
      <x:c r="A68" s="1"/>
      <x:c r="B68" s="1"/>
      <x:c r="C68" s="1"/>
      <x:c r="D68" s="1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1"/>
      <x:c r="R68" s="1"/>
    </x:row>
    <x:row r="69" ht="21" customHeight="1">
      <x:c r="A69" s="1"/>
      <x:c r="B69" s="1"/>
      <x:c r="C69" s="1"/>
      <x:c r="D69" s="1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1"/>
      <x:c r="R69" s="1"/>
    </x:row>
    <x:row r="70" ht="21" customHeight="1">
      <x:c r="A70" s="1"/>
      <x:c r="B70" s="1"/>
      <x:c r="C70" s="1"/>
      <x:c r="D70" s="1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1"/>
      <x:c r="R70" s="1"/>
    </x:row>
    <x:row r="71" ht="21" customHeight="1">
      <x:c r="A71" s="1"/>
      <x:c r="B71" s="1"/>
      <x:c r="C71" s="1"/>
      <x:c r="D71" s="1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1"/>
      <x:c r="R71" s="1"/>
    </x:row>
    <x:row r="72" ht="21" customHeight="1">
      <x:c r="A72" s="1"/>
      <x:c r="B72" s="1"/>
      <x:c r="C72" s="1"/>
      <x:c r="D72" s="1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1"/>
      <x:c r="R72" s="1"/>
    </x:row>
    <x:row r="73" ht="21" customHeight="1">
      <x:c r="A73" s="1"/>
      <x:c r="B73" s="1"/>
      <x:c r="C73" s="1"/>
      <x:c r="D73" s="1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1"/>
      <x:c r="R73" s="1"/>
    </x:row>
    <x:row r="74" ht="21" customHeight="1">
      <x:c r="A74" s="1"/>
      <x:c r="B74" s="1"/>
      <x:c r="C74" s="1"/>
      <x:c r="D74" s="1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1"/>
      <x:c r="R74" s="1"/>
    </x:row>
    <x:row r="75" ht="21" customHeight="1">
      <x:c r="A75" s="1"/>
      <x:c r="B75" s="1"/>
      <x:c r="C75" s="1"/>
      <x:c r="D75" s="1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1"/>
      <x:c r="R75" s="1"/>
    </x:row>
    <x:row r="76" ht="21" customHeight="1">
      <x:c r="A76" s="1"/>
      <x:c r="B76" s="1"/>
      <x:c r="C76" s="1"/>
      <x:c r="D76" s="1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1"/>
      <x:c r="R76" s="1"/>
    </x:row>
    <x:row r="77" ht="21" customHeight="1">
      <x:c r="A77" s="1"/>
      <x:c r="B77" s="1"/>
      <x:c r="C77" s="1"/>
      <x:c r="D77" s="1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1"/>
      <x:c r="R77" s="1"/>
    </x:row>
    <x:row r="78" ht="21" customHeight="1">
      <x:c r="A78" s="1"/>
      <x:c r="B78" s="1"/>
      <x:c r="C78" s="1"/>
      <x:c r="D78" s="1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1"/>
      <x:c r="R78" s="1"/>
    </x:row>
    <x:row r="79" ht="21" customHeight="1">
      <x:c r="A79" s="1"/>
      <x:c r="B79" s="1"/>
      <x:c r="C79" s="1"/>
      <x:c r="D79" s="1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1"/>
      <x:c r="R79" s="1"/>
    </x:row>
    <x:row r="80" ht="21" customHeight="1">
      <x:c r="A80" s="1"/>
      <x:c r="B80" s="1"/>
      <x:c r="C80" s="1"/>
      <x:c r="D80" s="1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1"/>
      <x:c r="R80" s="1"/>
    </x:row>
    <x:row r="81" ht="21" customHeight="1">
      <x:c r="A81" s="1"/>
      <x:c r="B81" s="1"/>
      <x:c r="C81" s="1"/>
      <x:c r="D81" s="1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1"/>
      <x:c r="R81" s="1"/>
    </x:row>
    <x:row r="82" ht="21" customHeight="1">
      <x:c r="A82" s="1"/>
      <x:c r="B82" s="1"/>
      <x:c r="C82" s="1"/>
      <x:c r="D82" s="1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1"/>
      <x:c r="R82" s="1"/>
    </x:row>
    <x:row r="83" ht="21" customHeight="1">
      <x:c r="A83" s="1"/>
      <x:c r="B83" s="1"/>
      <x:c r="C83" s="1"/>
      <x:c r="D83" s="1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1"/>
      <x:c r="R83" s="1"/>
    </x:row>
    <x:row r="84" ht="21" customHeight="1">
      <x:c r="A84" s="1"/>
      <x:c r="B84" s="1"/>
      <x:c r="C84" s="1"/>
      <x:c r="D84" s="1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1"/>
      <x:c r="R84" s="1"/>
    </x:row>
    <x:row r="85" ht="21" customHeight="1">
      <x:c r="A85" s="1"/>
      <x:c r="B85" s="1"/>
      <x:c r="C85" s="1"/>
      <x:c r="D85" s="1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1"/>
      <x:c r="R85" s="1"/>
    </x:row>
    <x:row r="86" ht="21" customHeight="1">
      <x:c r="A86" s="1"/>
      <x:c r="B86" s="1"/>
      <x:c r="C86" s="1"/>
      <x:c r="D86" s="1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1"/>
      <x:c r="R86" s="1"/>
    </x:row>
    <x:row r="87" ht="21" customHeight="1">
      <x:c r="A87" s="1"/>
      <x:c r="B87" s="1"/>
      <x:c r="C87" s="1"/>
      <x:c r="D87" s="1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1"/>
      <x:c r="R87" s="1"/>
    </x:row>
    <x:row r="88" ht="21" customHeight="1">
      <x:c r="A88" s="1"/>
      <x:c r="B88" s="1"/>
      <x:c r="C88" s="1"/>
      <x:c r="D88" s="1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1"/>
      <x:c r="R88" s="1"/>
    </x:row>
    <x:row r="89" ht="21" customHeight="1">
      <x:c r="A89" s="1"/>
      <x:c r="B89" s="1"/>
      <x:c r="C89" s="1"/>
      <x:c r="D89" s="1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1"/>
      <x:c r="R89" s="1"/>
    </x:row>
    <x:row r="90" ht="21" customHeight="1">
      <x:c r="A90" s="1"/>
      <x:c r="B90" s="1"/>
      <x:c r="C90" s="1"/>
      <x:c r="D90" s="1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1"/>
      <x:c r="R90" s="1"/>
    </x:row>
    <x:row r="91" ht="21" customHeight="1">
      <x:c r="A91" s="1"/>
      <x:c r="B91" s="1"/>
      <x:c r="C91" s="1"/>
      <x:c r="D91" s="1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1"/>
      <x:c r="R91" s="1"/>
    </x:row>
    <x:row r="92" ht="21" customHeight="1">
      <x:c r="A92" s="1"/>
      <x:c r="B92" s="1"/>
      <x:c r="C92" s="1"/>
      <x:c r="D92" s="1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1"/>
      <x:c r="R92" s="1"/>
    </x:row>
    <x:row r="93" ht="21" customHeight="1">
      <x:c r="A93" s="1"/>
      <x:c r="B93" s="1"/>
      <x:c r="C93" s="1"/>
      <x:c r="D93" s="1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1"/>
      <x:c r="R93" s="1"/>
    </x:row>
    <x:row r="94" ht="21" customHeight="1">
      <x:c r="A94" s="1"/>
      <x:c r="B94" s="1"/>
      <x:c r="C94" s="1"/>
      <x:c r="D94" s="1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1"/>
      <x:c r="R94" s="1"/>
    </x:row>
    <x:row r="95" ht="21" customHeight="1">
      <x:c r="A95" s="1"/>
      <x:c r="B95" s="1"/>
      <x:c r="C95" s="1"/>
      <x:c r="D95" s="1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1"/>
      <x:c r="R95" s="1"/>
    </x:row>
    <x:row r="96" ht="21" customHeight="1">
      <x:c r="A96" s="1"/>
      <x:c r="B96" s="1"/>
      <x:c r="C96" s="1"/>
      <x:c r="D96" s="1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1"/>
      <x:c r="R96" s="1"/>
    </x:row>
    <x:row r="97" ht="21" customHeight="1">
      <x:c r="A97" s="1"/>
      <x:c r="B97" s="1"/>
      <x:c r="C97" s="1"/>
      <x:c r="D97" s="1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1"/>
      <x:c r="R97" s="1"/>
    </x:row>
    <x:row r="98" ht="21" customHeight="1">
      <x:c r="A98" s="1"/>
      <x:c r="B98" s="1"/>
      <x:c r="C98" s="1"/>
      <x:c r="D98" s="1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1"/>
      <x:c r="R98" s="1"/>
    </x:row>
    <x:row r="99" ht="21" customHeight="1">
      <x:c r="A99" s="1"/>
      <x:c r="B99" s="1"/>
      <x:c r="C99" s="1"/>
      <x:c r="D99" s="1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1"/>
      <x:c r="R99" s="1"/>
    </x:row>
    <x:row r="100" ht="21" customHeight="1">
      <x:c r="A100" s="1"/>
      <x:c r="B100" s="1"/>
      <x:c r="C100" s="1"/>
      <x:c r="D100" s="1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1"/>
      <x:c r="R100" s="1"/>
    </x:row>
    <x:row r="101" ht="21" customHeight="1">
      <x:c r="A101" s="1"/>
      <x:c r="B101" s="1"/>
      <x:c r="C101" s="1"/>
      <x:c r="D101" s="1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1"/>
      <x:c r="R101" s="1"/>
    </x:row>
    <x:row r="102" ht="21" customHeight="1">
      <x:c r="A102" s="1"/>
      <x:c r="B102" s="1"/>
      <x:c r="C102" s="1"/>
      <x:c r="D102" s="1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1"/>
      <x:c r="R102" s="1"/>
    </x:row>
    <x:row r="103" ht="21" customHeight="1">
      <x:c r="A103" s="1"/>
      <x:c r="B103" s="1"/>
      <x:c r="C103" s="1"/>
      <x:c r="D103" s="1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1"/>
      <x:c r="R103" s="1"/>
    </x:row>
    <x:row r="104" ht="21" customHeight="1">
      <x:c r="A104" s="1"/>
      <x:c r="B104" s="1"/>
      <x:c r="C104" s="1"/>
      <x:c r="D104" s="1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1"/>
      <x:c r="R104" s="1"/>
    </x:row>
    <x:row r="105" ht="21" customHeight="1">
      <x:c r="A105" s="1"/>
      <x:c r="B105" s="1"/>
      <x:c r="C105" s="1"/>
      <x:c r="D105" s="1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1"/>
      <x:c r="R105" s="1"/>
    </x:row>
    <x:row r="106" ht="21" customHeight="1">
      <x:c r="A106" s="1"/>
      <x:c r="B106" s="1"/>
      <x:c r="C106" s="1"/>
      <x:c r="D106" s="1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1"/>
      <x:c r="R106" s="1"/>
    </x:row>
    <x:row r="107" ht="21" customHeight="1">
      <x:c r="A107" s="1"/>
      <x:c r="B107" s="1"/>
      <x:c r="C107" s="1"/>
      <x:c r="D107" s="1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1"/>
      <x:c r="R107" s="1"/>
    </x:row>
    <x:row r="108" ht="21" customHeight="1">
      <x:c r="A108" s="1"/>
      <x:c r="B108" s="1"/>
      <x:c r="C108" s="1"/>
      <x:c r="D108" s="1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1"/>
      <x:c r="R108" s="1"/>
    </x:row>
    <x:row r="109" ht="21" customHeight="1">
      <x:c r="A109" s="1"/>
      <x:c r="B109" s="1"/>
      <x:c r="C109" s="1"/>
      <x:c r="D109" s="1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1"/>
      <x:c r="R109" s="1"/>
    </x:row>
    <x:row r="110" ht="21" customHeight="1">
      <x:c r="A110" s="1"/>
      <x:c r="B110" s="1"/>
      <x:c r="C110" s="1"/>
      <x:c r="D110" s="1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1"/>
      <x:c r="R110" s="1"/>
    </x:row>
    <x:row r="111" ht="21" customHeight="1">
      <x:c r="A111" s="1"/>
      <x:c r="B111" s="1"/>
      <x:c r="C111" s="1"/>
      <x:c r="D111" s="1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1"/>
      <x:c r="R111" s="1"/>
    </x:row>
    <x:row r="112" ht="21" customHeight="1">
      <x:c r="A112" s="1"/>
      <x:c r="B112" s="1"/>
      <x:c r="C112" s="1"/>
      <x:c r="D112" s="1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1"/>
      <x:c r="R112" s="1"/>
    </x:row>
    <x:row r="113" ht="21" customHeight="1">
      <x:c r="A113" s="1"/>
      <x:c r="B113" s="1"/>
      <x:c r="C113" s="1"/>
      <x:c r="D113" s="1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1"/>
      <x:c r="R113" s="1"/>
    </x:row>
    <x:row r="114" ht="21" customHeight="1">
      <x:c r="A114" s="1"/>
      <x:c r="B114" s="1"/>
      <x:c r="C114" s="1"/>
      <x:c r="D114" s="1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1"/>
      <x:c r="R114" s="1"/>
    </x:row>
    <x:row r="115" ht="21" customHeight="1">
      <x:c r="A115" s="1"/>
      <x:c r="B115" s="1"/>
      <x:c r="C115" s="1"/>
      <x:c r="D115" s="1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1"/>
      <x:c r="R115" s="1"/>
    </x:row>
    <x:row r="116" ht="21" customHeight="1">
      <x:c r="A116" s="1"/>
      <x:c r="B116" s="1"/>
      <x:c r="C116" s="1"/>
      <x:c r="D116" s="1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1"/>
      <x:c r="R116" s="1"/>
    </x:row>
    <x:row r="117" ht="21" customHeight="1">
      <x:c r="A117" s="1"/>
      <x:c r="B117" s="1"/>
      <x:c r="C117" s="1"/>
      <x:c r="D117" s="1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1"/>
      <x:c r="R117" s="1"/>
    </x:row>
    <x:row r="118" ht="21" customHeight="1">
      <x:c r="A118" s="1"/>
      <x:c r="B118" s="1"/>
      <x:c r="C118" s="1"/>
      <x:c r="D118" s="1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1"/>
      <x:c r="R118" s="1"/>
    </x:row>
    <x:row r="119" ht="21" customHeight="1">
      <x:c r="A119" s="1"/>
      <x:c r="B119" s="1"/>
      <x:c r="C119" s="1"/>
      <x:c r="D119" s="1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1"/>
      <x:c r="R119" s="1"/>
    </x:row>
    <x:row r="120" ht="21" customHeight="1">
      <x:c r="A120" s="1"/>
      <x:c r="B120" s="1"/>
      <x:c r="C120" s="1"/>
      <x:c r="D120" s="1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1"/>
      <x:c r="R120" s="1"/>
    </x:row>
    <x:row r="121" ht="21" customHeight="1">
      <x:c r="A121" s="1"/>
      <x:c r="B121" s="1"/>
      <x:c r="C121" s="1"/>
      <x:c r="D121" s="1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1"/>
      <x:c r="R121" s="1"/>
    </x:row>
    <x:row r="122" ht="21" customHeight="1">
      <x:c r="A122" s="1"/>
      <x:c r="B122" s="1"/>
      <x:c r="C122" s="1"/>
      <x:c r="D122" s="1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1"/>
      <x:c r="R122" s="1"/>
    </x:row>
    <x:row r="123" ht="21" customHeight="1">
      <x:c r="A123" s="1"/>
      <x:c r="B123" s="1"/>
      <x:c r="C123" s="1"/>
      <x:c r="D123" s="1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1"/>
      <x:c r="R123" s="1"/>
    </x:row>
    <x:row r="124" ht="21" customHeight="1">
      <x:c r="A124" s="1"/>
      <x:c r="B124" s="1"/>
      <x:c r="C124" s="1"/>
      <x:c r="D124" s="1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1"/>
      <x:c r="R124" s="1"/>
    </x:row>
    <x:row r="125" ht="21" customHeight="1">
      <x:c r="A125" s="1"/>
      <x:c r="B125" s="1"/>
      <x:c r="C125" s="1"/>
      <x:c r="D125" s="1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1"/>
      <x:c r="R125" s="1"/>
    </x:row>
    <x:row r="126" ht="21" customHeight="1">
      <x:c r="A126" s="1"/>
      <x:c r="B126" s="1"/>
      <x:c r="C126" s="1"/>
      <x:c r="D126" s="1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1"/>
      <x:c r="R126" s="1"/>
    </x:row>
    <x:row r="127" ht="21" customHeight="1">
      <x:c r="A127" s="1"/>
      <x:c r="B127" s="1"/>
      <x:c r="C127" s="1"/>
      <x:c r="D127" s="1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1"/>
      <x:c r="R127" s="1"/>
    </x:row>
    <x:row r="128" ht="21" customHeight="1">
      <x:c r="A128" s="1"/>
      <x:c r="B128" s="1"/>
      <x:c r="C128" s="1"/>
      <x:c r="D128" s="1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1"/>
      <x:c r="R128" s="1"/>
    </x:row>
    <x:row r="129" ht="21" customHeight="1">
      <x:c r="A129" s="1"/>
      <x:c r="B129" s="1"/>
      <x:c r="C129" s="1"/>
      <x:c r="D129" s="1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1"/>
      <x:c r="R129" s="1"/>
    </x:row>
    <x:row r="130" ht="21" customHeight="1">
      <x:c r="A130" s="1"/>
      <x:c r="B130" s="1"/>
      <x:c r="C130" s="1"/>
      <x:c r="D130" s="1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1"/>
      <x:c r="R130" s="1"/>
    </x:row>
    <x:row r="131" ht="21" customHeight="1">
      <x:c r="A131" s="1"/>
      <x:c r="B131" s="1"/>
      <x:c r="C131" s="1"/>
      <x:c r="D131" s="1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1"/>
      <x:c r="R131" s="1"/>
    </x:row>
    <x:row r="132" ht="21" customHeight="1">
      <x:c r="A132" s="1"/>
      <x:c r="B132" s="1"/>
      <x:c r="C132" s="1"/>
      <x:c r="D132" s="1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1"/>
      <x:c r="R132" s="1"/>
    </x:row>
    <x:row r="133" ht="21" customHeight="1">
      <x:c r="A133" s="1"/>
      <x:c r="B133" s="1"/>
      <x:c r="C133" s="1"/>
      <x:c r="D133" s="1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1"/>
      <x:c r="R133" s="1"/>
    </x:row>
    <x:row r="134" ht="21" customHeight="1">
      <x:c r="A134" s="1"/>
      <x:c r="B134" s="1"/>
      <x:c r="C134" s="1"/>
      <x:c r="D134" s="1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1"/>
      <x:c r="R134" s="1"/>
    </x:row>
    <x:row r="135" ht="21" customHeight="1">
      <x:c r="A135" s="1"/>
      <x:c r="B135" s="1"/>
      <x:c r="C135" s="1"/>
      <x:c r="D135" s="1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1"/>
      <x:c r="R135" s="1"/>
    </x:row>
    <x:row r="136" ht="21" customHeight="1">
      <x:c r="A136" s="1"/>
      <x:c r="B136" s="1"/>
      <x:c r="C136" s="1"/>
      <x:c r="D136" s="1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1"/>
      <x:c r="R136" s="1"/>
    </x:row>
    <x:row r="137" ht="21" customHeight="1">
      <x:c r="A137" s="1"/>
      <x:c r="B137" s="1"/>
      <x:c r="C137" s="1"/>
      <x:c r="D137" s="1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1"/>
      <x:c r="R137" s="1"/>
    </x:row>
    <x:row r="138" ht="21" customHeight="1">
      <x:c r="A138" s="1"/>
      <x:c r="B138" s="1"/>
      <x:c r="C138" s="1"/>
      <x:c r="D138" s="1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1"/>
      <x:c r="R138" s="1"/>
    </x:row>
    <x:row r="139" ht="21" customHeight="1">
      <x:c r="A139" s="1"/>
      <x:c r="B139" s="1"/>
      <x:c r="C139" s="1"/>
      <x:c r="D139" s="1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1"/>
      <x:c r="R139" s="1"/>
    </x:row>
    <x:row r="140" ht="21" customHeight="1">
      <x:c r="A140" s="1"/>
      <x:c r="B140" s="1"/>
      <x:c r="C140" s="1"/>
      <x:c r="D140" s="1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1"/>
      <x:c r="R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196B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1" hidden="0" customWidth="1"/>
    <x:col min="4" max="4" width="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1" customHeight="1">
      <x:c r="A2" s="1"/>
      <x:c r="B2" s="1"/>
      <x:c r="C2" s="3" t="str">
        <x:v>Lumentum | Assumptions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1"/>
      <x:c r="R2" s="1"/>
    </x:row>
    <x:row r="3" ht="21" customHeight="1">
      <x:c r="A3" s="1"/>
      <x:c r="B3" s="1"/>
      <x:c r="C3" s="1" t="str">
        <x:v>USD millions, except EPS and share prices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1" customHeight="1">
      <x:c r="A4" s="1"/>
      <x:c r="B4" s="1"/>
      <x:c r="C4" s="1" t="str">
        <x:v>Case selected</x:v>
      </x:c>
      <x:c r="D4" s="1"/>
      <x:c r="E4" s="43" t="n">
        <x:v>2</x:v>
      </x:c>
      <x:c r="F4" s="42" t="str">
        <x:f>CHOOSE(E4,"Bear","Base","Bull")</x:f>
        <x:v>Base</x:v>
      </x:c>
      <x:c r="G4" s="1" t="str">
        <x:v>1 Bear / 2 Base / 3 Bull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21" customHeight="1">
      <x:c r="A6" s="1"/>
      <x:c r="B6" s="1"/>
      <x:c r="C6" s="1"/>
      <x:c r="D6" s="1"/>
      <x:c r="E6" s="2" t="str">
        <x:v>Q1:27</x:v>
      </x:c>
      <x:c r="F6" s="2" t="str">
        <x:v>Q2:27</x:v>
      </x:c>
      <x:c r="G6" s="2" t="str">
        <x:v>Q3:27</x:v>
      </x:c>
      <x:c r="H6" s="2" t="str">
        <x:v>Q4:27</x:v>
      </x:c>
      <x:c r="I6" s="2"/>
      <x:c r="J6" s="2" t="str">
        <x:v>FY:27</x:v>
      </x:c>
      <x:c r="K6" s="2" t="str">
        <x:v>FY:28</x:v>
      </x:c>
      <x:c r="L6" s="2" t="str">
        <x:v>FY:29</x:v>
      </x:c>
      <x:c r="M6" s="2" t="str">
        <x:v>FY:30</x:v>
      </x:c>
      <x:c r="N6" s="2" t="str">
        <x:v>FY:31</x:v>
      </x:c>
      <x:c r="O6" s="2" t="str">
        <x:v>FY:32</x:v>
      </x:c>
      <x:c r="P6" s="2" t="str">
        <x:v>FY:33</x:v>
      </x:c>
      <x:c r="Q6" s="1"/>
      <x:c r="R6" s="1"/>
    </x:row>
    <x:row r="7" ht="21" customHeight="1">
      <x:c r="A7" s="1"/>
      <x:c r="B7" s="1"/>
      <x:c r="C7" s="1"/>
      <x:c r="D7" s="1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1"/>
      <x:c r="R7" s="1"/>
    </x:row>
    <x:row r="8" ht="21" customHeight="1">
      <x:c r="A8" s="1"/>
      <x:c r="B8" s="1"/>
      <x:c r="C8" s="17" t="str">
        <x:v>Components delivered-volume growth — active</x:v>
      </x:c>
      <x:c r="D8" s="17"/>
      <x:c r="E8" s="18" t="n">
        <x:f>IF(CHOOSE($E$4,ISNUMBER(E9),ISNUMBER(E10),ISNUMBER(E11)),CHOOSE($E$4,E9,E10,E11),NA())</x:f>
        <x:v>0.232</x:v>
      </x:c>
      <x:c r="F8" s="18" t="n">
        <x:f>IF(CHOOSE($E$4,ISNUMBER(F9),ISNUMBER(F10),ISNUMBER(F11)),CHOOSE($E$4,F9,F10,F11),NA())</x:f>
        <x:v>0.125</x:v>
      </x:c>
      <x:c r="G8" s="18" t="n">
        <x:f>IF(CHOOSE($E$4,ISNUMBER(G9),ISNUMBER(G10),ISNUMBER(G11)),CHOOSE($E$4,G9,G10,G11),NA())</x:f>
        <x:v>0.122</x:v>
      </x:c>
      <x:c r="H8" s="18" t="n">
        <x:f>IF(CHOOSE($E$4,ISNUMBER(H9),ISNUMBER(H10),ISNUMBER(H11)),CHOOSE($E$4,H9,H10,H11),NA())</x:f>
        <x:v>0.089</x:v>
      </x:c>
      <x:c r="I8" s="19"/>
      <x:c r="J8" s="19"/>
      <x:c r="K8" s="19"/>
      <x:c r="L8" s="19"/>
      <x:c r="M8" s="19"/>
      <x:c r="N8" s="19"/>
      <x:c r="O8" s="19"/>
      <x:c r="P8" s="19"/>
      <x:c r="Q8" s="1"/>
      <x:c r="R8" s="1"/>
    </x:row>
    <x:row r="9" ht="21" customHeight="1">
      <x:c r="A9" s="1"/>
      <x:c r="B9" s="1"/>
      <x:c r="C9" s="1" t="str">
        <x:v>Bear</x:v>
      </x:c>
      <x:c r="D9" s="1"/>
      <x:c r="E9" s="16" t="n">
        <x:v>0.2</x:v>
      </x:c>
      <x:c r="F9" s="16" t="n">
        <x:v>0.04</x:v>
      </x:c>
      <x:c r="G9" s="16" t="n">
        <x:v>0</x:v>
      </x:c>
      <x:c r="H9" s="16" t="n">
        <x:v>0</x:v>
      </x:c>
      <x:c r="I9" s="2"/>
      <x:c r="J9" s="2"/>
      <x:c r="K9" s="2"/>
      <x:c r="L9" s="2"/>
      <x:c r="M9" s="2"/>
      <x:c r="N9" s="2"/>
      <x:c r="O9" s="2"/>
      <x:c r="P9" s="2"/>
      <x:c r="Q9" s="1"/>
      <x:c r="R9" s="1"/>
    </x:row>
    <x:row r="10" ht="21" customHeight="1">
      <x:c r="A10" s="1"/>
      <x:c r="B10" s="1"/>
      <x:c r="C10" s="1" t="str">
        <x:v>Base</x:v>
      </x:c>
      <x:c r="D10" s="1"/>
      <x:c r="E10" s="16" t="n">
        <x:v>0.232</x:v>
      </x:c>
      <x:c r="F10" s="16" t="n">
        <x:v>0.125</x:v>
      </x:c>
      <x:c r="G10" s="16" t="n">
        <x:v>0.122</x:v>
      </x:c>
      <x:c r="H10" s="16" t="n">
        <x:v>0.089</x:v>
      </x:c>
      <x:c r="I10" s="2"/>
      <x:c r="J10" s="2"/>
      <x:c r="K10" s="2"/>
      <x:c r="L10" s="2"/>
      <x:c r="M10" s="2"/>
      <x:c r="N10" s="2"/>
      <x:c r="O10" s="2"/>
      <x:c r="P10" s="2"/>
      <x:c r="Q10" s="1"/>
      <x:c r="R10" s="1"/>
    </x:row>
    <x:row r="11" ht="21" customHeight="1">
      <x:c r="A11" s="1"/>
      <x:c r="B11" s="1"/>
      <x:c r="C11" s="1" t="str">
        <x:v>Bull</x:v>
      </x:c>
      <x:c r="D11" s="1"/>
      <x:c r="E11" s="16" t="n">
        <x:v>0.2598</x:v>
      </x:c>
      <x:c r="F11" s="16" t="n">
        <x:v>0.195</x:v>
      </x:c>
      <x:c r="G11" s="16" t="n">
        <x:v>0.19</x:v>
      </x:c>
      <x:c r="H11" s="16" t="n">
        <x:v>0.18</x:v>
      </x:c>
      <x:c r="I11" s="2"/>
      <x:c r="J11" s="2"/>
      <x:c r="K11" s="2"/>
      <x:c r="L11" s="2"/>
      <x:c r="M11" s="2"/>
      <x:c r="N11" s="2"/>
      <x:c r="O11" s="2"/>
      <x:c r="P11" s="2"/>
      <x:c r="Q11" s="1"/>
      <x:c r="R11" s="1"/>
    </x:row>
    <x:row r="12" ht="21" customHeight="1">
      <x:c r="A12" s="1"/>
      <x:c r="B12" s="1"/>
      <x:c r="C12" s="1"/>
      <x:c r="D12" s="1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1"/>
      <x:c r="R12" s="1"/>
    </x:row>
    <x:row r="13" ht="21" customHeight="1">
      <x:c r="A13" s="1"/>
      <x:c r="B13" s="1"/>
      <x:c r="C13" s="17" t="str">
        <x:v>Systems delivered-volume growth — active</x:v>
      </x:c>
      <x:c r="D13" s="17"/>
      <x:c r="E13" s="18" t="n">
        <x:f>IF(CHOOSE($E$4,ISNUMBER(E14),ISNUMBER(E15),ISNUMBER(E16)),CHOOSE($E$4,E14,E15,E16),NA())</x:f>
        <x:v>0.261</x:v>
      </x:c>
      <x:c r="F13" s="18" t="n">
        <x:f>IF(CHOOSE($E$4,ISNUMBER(F14),ISNUMBER(F15),ISNUMBER(F16)),CHOOSE($E$4,F14,F15,F16),NA())</x:f>
        <x:v>0.156</x:v>
      </x:c>
      <x:c r="G13" s="18" t="n">
        <x:f>IF(CHOOSE($E$4,ISNUMBER(G14),ISNUMBER(G15),ISNUMBER(G16)),CHOOSE($E$4,G14,G15,G16),NA())</x:f>
        <x:v>0.173</x:v>
      </x:c>
      <x:c r="H13" s="18" t="n">
        <x:f>IF(CHOOSE($E$4,ISNUMBER(H14),ISNUMBER(H15),ISNUMBER(H16)),CHOOSE($E$4,H14,H15,H16),NA())</x:f>
        <x:v>0.164</x:v>
      </x:c>
      <x:c r="I13" s="19"/>
      <x:c r="J13" s="19"/>
      <x:c r="K13" s="19"/>
      <x:c r="L13" s="19"/>
      <x:c r="M13" s="19"/>
      <x:c r="N13" s="19"/>
      <x:c r="O13" s="19"/>
      <x:c r="P13" s="19"/>
      <x:c r="Q13" s="1"/>
      <x:c r="R13" s="1"/>
    </x:row>
    <x:row r="14" ht="21" customHeight="1">
      <x:c r="A14" s="1"/>
      <x:c r="B14" s="1"/>
      <x:c r="C14" s="1" t="str">
        <x:v>Bear</x:v>
      </x:c>
      <x:c r="D14" s="1"/>
      <x:c r="E14" s="16" t="n">
        <x:v>0.25</x:v>
      </x:c>
      <x:c r="F14" s="16" t="n">
        <x:v>0.02</x:v>
      </x:c>
      <x:c r="G14" s="16" t="n">
        <x:v>0</x:v>
      </x:c>
      <x:c r="H14" s="16" t="n">
        <x:v>0.02</x:v>
      </x:c>
      <x:c r="I14" s="2"/>
      <x:c r="J14" s="2"/>
      <x:c r="K14" s="2"/>
      <x:c r="L14" s="2"/>
      <x:c r="M14" s="2"/>
      <x:c r="N14" s="2"/>
      <x:c r="O14" s="2"/>
      <x:c r="P14" s="2"/>
      <x:c r="Q14" s="1"/>
      <x:c r="R14" s="1"/>
    </x:row>
    <x:row r="15" ht="21" customHeight="1">
      <x:c r="A15" s="1"/>
      <x:c r="B15" s="1"/>
      <x:c r="C15" s="1" t="str">
        <x:v>Base</x:v>
      </x:c>
      <x:c r="D15" s="1"/>
      <x:c r="E15" s="16" t="n">
        <x:v>0.261</x:v>
      </x:c>
      <x:c r="F15" s="16" t="n">
        <x:v>0.156</x:v>
      </x:c>
      <x:c r="G15" s="16" t="n">
        <x:v>0.173</x:v>
      </x:c>
      <x:c r="H15" s="16" t="n">
        <x:v>0.164</x:v>
      </x:c>
      <x:c r="I15" s="2"/>
      <x:c r="J15" s="2"/>
      <x:c r="K15" s="2"/>
      <x:c r="L15" s="2"/>
      <x:c r="M15" s="2"/>
      <x:c r="N15" s="2"/>
      <x:c r="O15" s="2"/>
      <x:c r="P15" s="2"/>
      <x:c r="Q15" s="1"/>
      <x:c r="R15" s="1"/>
    </x:row>
    <x:row r="16" ht="21" customHeight="1">
      <x:c r="A16" s="1"/>
      <x:c r="B16" s="1"/>
      <x:c r="C16" s="1" t="str">
        <x:v>Bull</x:v>
      </x:c>
      <x:c r="D16" s="1"/>
      <x:c r="E16" s="16" t="n">
        <x:v>0.28</x:v>
      </x:c>
      <x:c r="F16" s="16" t="n">
        <x:v>0.27</x:v>
      </x:c>
      <x:c r="G16" s="16" t="n">
        <x:v>0.26</x:v>
      </x:c>
      <x:c r="H16" s="16" t="n">
        <x:v>0.22</x:v>
      </x:c>
      <x:c r="I16" s="2"/>
      <x:c r="J16" s="2"/>
      <x:c r="K16" s="2"/>
      <x:c r="L16" s="2"/>
      <x:c r="M16" s="2"/>
      <x:c r="N16" s="2"/>
      <x:c r="O16" s="2"/>
      <x:c r="P16" s="2"/>
      <x:c r="Q16" s="1"/>
      <x:c r="R16" s="1"/>
    </x:row>
    <x:row r="17" ht="21" customHeight="1">
      <x:c r="A17" s="1"/>
      <x:c r="B17" s="1"/>
      <x:c r="C17" s="1"/>
      <x:c r="D17" s="1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1"/>
      <x:c r="R17" s="1"/>
    </x:row>
    <x:row r="18" ht="21" customHeight="1">
      <x:c r="A18" s="1"/>
      <x:c r="B18" s="1"/>
      <x:c r="C18" s="17" t="str">
        <x:v>Price / mix change (both categories) — active</x:v>
      </x:c>
      <x:c r="D18" s="17"/>
      <x:c r="E18" s="18" t="n">
        <x:f>IF(CHOOSE($E$4,ISNUMBER(E19),ISNUMBER(E20),ISNUMBER(E21)),CHOOSE($E$4,E19,E20,E21),NA())</x:f>
        <x:v>0</x:v>
      </x:c>
      <x:c r="F18" s="18" t="n">
        <x:f>IF(CHOOSE($E$4,ISNUMBER(F19),ISNUMBER(F20),ISNUMBER(F21)),CHOOSE($E$4,F19,F20,F21),NA())</x:f>
        <x:v>0</x:v>
      </x:c>
      <x:c r="G18" s="18" t="n">
        <x:f>IF(CHOOSE($E$4,ISNUMBER(G19),ISNUMBER(G20),ISNUMBER(G21)),CHOOSE($E$4,G19,G20,G21),NA())</x:f>
        <x:v>0</x:v>
      </x:c>
      <x:c r="H18" s="18" t="n">
        <x:f>IF(CHOOSE($E$4,ISNUMBER(H19),ISNUMBER(H20),ISNUMBER(H21)),CHOOSE($E$4,H19,H20,H21),NA())</x:f>
        <x:v>0</x:v>
      </x:c>
      <x:c r="I18" s="19"/>
      <x:c r="J18" s="19"/>
      <x:c r="K18" s="19"/>
      <x:c r="L18" s="19"/>
      <x:c r="M18" s="19"/>
      <x:c r="N18" s="19"/>
      <x:c r="O18" s="19"/>
      <x:c r="P18" s="19"/>
      <x:c r="Q18" s="1"/>
      <x:c r="R18" s="1"/>
    </x:row>
    <x:row r="19" ht="21" customHeight="1">
      <x:c r="A19" s="1"/>
      <x:c r="B19" s="1"/>
      <x:c r="C19" s="1" t="str">
        <x:v>Bear</x:v>
      </x:c>
      <x:c r="D19" s="1"/>
      <x:c r="E19" s="16" t="n">
        <x:v>0</x:v>
      </x:c>
      <x:c r="F19" s="16" t="n">
        <x:v>-0.02</x:v>
      </x:c>
      <x:c r="G19" s="16" t="n">
        <x:v>-0.02</x:v>
      </x:c>
      <x:c r="H19" s="16" t="n">
        <x:v>-0.01</x:v>
      </x:c>
      <x:c r="I19" s="2"/>
      <x:c r="J19" s="2"/>
      <x:c r="K19" s="2"/>
      <x:c r="L19" s="2"/>
      <x:c r="M19" s="2"/>
      <x:c r="N19" s="2"/>
      <x:c r="O19" s="2"/>
      <x:c r="P19" s="2"/>
      <x:c r="Q19" s="1"/>
      <x:c r="R19" s="1"/>
    </x:row>
    <x:row r="20" ht="21" customHeight="1">
      <x:c r="A20" s="1"/>
      <x:c r="B20" s="1"/>
      <x:c r="C20" s="1" t="str">
        <x:v>Base</x:v>
      </x:c>
      <x:c r="D20" s="1"/>
      <x:c r="E20" s="16" t="n">
        <x:v>0</x:v>
      </x:c>
      <x:c r="F20" s="16" t="n">
        <x:v>0</x:v>
      </x:c>
      <x:c r="G20" s="16" t="n">
        <x:v>0</x:v>
      </x:c>
      <x:c r="H20" s="16" t="n">
        <x:v>0</x:v>
      </x:c>
      <x:c r="I20" s="2"/>
      <x:c r="J20" s="2"/>
      <x:c r="K20" s="2"/>
      <x:c r="L20" s="2"/>
      <x:c r="M20" s="2"/>
      <x:c r="N20" s="2"/>
      <x:c r="O20" s="2"/>
      <x:c r="P20" s="2"/>
      <x:c r="Q20" s="1"/>
      <x:c r="R20" s="1"/>
    </x:row>
    <x:row r="21" ht="21" customHeight="1">
      <x:c r="A21" s="1"/>
      <x:c r="B21" s="1"/>
      <x:c r="C21" s="1" t="str">
        <x:v>Bull</x:v>
      </x:c>
      <x:c r="D21" s="1"/>
      <x:c r="E21" s="16" t="n">
        <x:v>0</x:v>
      </x:c>
      <x:c r="F21" s="16" t="n">
        <x:v>0.005</x:v>
      </x:c>
      <x:c r="G21" s="16" t="n">
        <x:v>0.005</x:v>
      </x:c>
      <x:c r="H21" s="16" t="n">
        <x:v>0.005</x:v>
      </x:c>
      <x:c r="I21" s="2"/>
      <x:c r="J21" s="2"/>
      <x:c r="K21" s="2"/>
      <x:c r="L21" s="2"/>
      <x:c r="M21" s="2"/>
      <x:c r="N21" s="2"/>
      <x:c r="O21" s="2"/>
      <x:c r="P21" s="2"/>
      <x:c r="Q21" s="1"/>
      <x:c r="R21" s="1"/>
    </x:row>
    <x:row r="22" ht="21" customHeight="1">
      <x:c r="A22" s="1"/>
      <x:c r="B22" s="1"/>
      <x:c r="C22" s="1"/>
      <x:c r="D22" s="1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1"/>
      <x:c r="R22" s="1"/>
    </x:row>
    <x:row r="23" ht="21" customHeight="1">
      <x:c r="A23" s="1"/>
      <x:c r="B23" s="1"/>
      <x:c r="C23" s="17" t="str">
        <x:v>Training-order reduction (incremental) — active</x:v>
      </x:c>
      <x:c r="D23" s="17"/>
      <x:c r="E23" s="18" t="n">
        <x:f>IF(CHOOSE($E$4,ISNUMBER(E24),ISNUMBER(E25),ISNUMBER(E26)),CHOOSE($E$4,E24,E25,E26),NA())</x:f>
        <x:v>0</x:v>
      </x:c>
      <x:c r="F23" s="18" t="n">
        <x:f>IF(CHOOSE($E$4,ISNUMBER(F24),ISNUMBER(F25),ISNUMBER(F26)),CHOOSE($E$4,F24,F25,F26),NA())</x:f>
        <x:v>0</x:v>
      </x:c>
      <x:c r="G23" s="18" t="n">
        <x:f>IF(CHOOSE($E$4,ISNUMBER(G24),ISNUMBER(G25),ISNUMBER(G26)),CHOOSE($E$4,G24,G25,G26),NA())</x:f>
        <x:v>0</x:v>
      </x:c>
      <x:c r="H23" s="18" t="n">
        <x:f>IF(CHOOSE($E$4,ISNUMBER(H24),ISNUMBER(H25),ISNUMBER(H26)),CHOOSE($E$4,H24,H25,H26),NA())</x:f>
        <x:v>0</x:v>
      </x:c>
      <x:c r="I23" s="19"/>
      <x:c r="J23" s="19"/>
      <x:c r="K23" s="19"/>
      <x:c r="L23" s="19"/>
      <x:c r="M23" s="19"/>
      <x:c r="N23" s="19"/>
      <x:c r="O23" s="19"/>
      <x:c r="P23" s="19"/>
      <x:c r="Q23" s="1"/>
      <x:c r="R23" s="1"/>
    </x:row>
    <x:row r="24" ht="21" customHeight="1">
      <x:c r="A24" s="1"/>
      <x:c r="B24" s="1"/>
      <x:c r="C24" s="1" t="str">
        <x:v>Bear</x:v>
      </x:c>
      <x:c r="D24" s="1"/>
      <x:c r="E24" s="16" t="n">
        <x:v>0</x:v>
      </x:c>
      <x:c r="F24" s="16" t="n">
        <x:v>0.1</x:v>
      </x:c>
      <x:c r="G24" s="16" t="n">
        <x:v>0.2</x:v>
      </x:c>
      <x:c r="H24" s="16" t="n">
        <x:v>0.2</x:v>
      </x:c>
      <x:c r="I24" s="2"/>
      <x:c r="J24" s="2"/>
      <x:c r="K24" s="2"/>
      <x:c r="L24" s="2"/>
      <x:c r="M24" s="2"/>
      <x:c r="N24" s="2"/>
      <x:c r="O24" s="2"/>
      <x:c r="P24" s="2"/>
      <x:c r="Q24" s="1"/>
      <x:c r="R24" s="1"/>
    </x:row>
    <x:row r="25" ht="21" customHeight="1">
      <x:c r="A25" s="1"/>
      <x:c r="B25" s="1"/>
      <x:c r="C25" s="1" t="str">
        <x:v>Base</x:v>
      </x:c>
      <x:c r="D25" s="1"/>
      <x:c r="E25" s="16" t="n">
        <x:v>0</x:v>
      </x:c>
      <x:c r="F25" s="16" t="n">
        <x:v>0</x:v>
      </x:c>
      <x:c r="G25" s="16" t="n">
        <x:v>0</x:v>
      </x:c>
      <x:c r="H25" s="16" t="n">
        <x:v>0</x:v>
      </x:c>
      <x:c r="I25" s="2"/>
      <x:c r="J25" s="2"/>
      <x:c r="K25" s="2"/>
      <x:c r="L25" s="2"/>
      <x:c r="M25" s="2"/>
      <x:c r="N25" s="2"/>
      <x:c r="O25" s="2"/>
      <x:c r="P25" s="2"/>
      <x:c r="Q25" s="1"/>
      <x:c r="R25" s="1"/>
    </x:row>
    <x:row r="26" ht="21" customHeight="1">
      <x:c r="A26" s="1"/>
      <x:c r="B26" s="1"/>
      <x:c r="C26" s="1" t="str">
        <x:v>Bull</x:v>
      </x:c>
      <x:c r="D26" s="1"/>
      <x:c r="E26" s="16" t="n">
        <x:v>0</x:v>
      </x:c>
      <x:c r="F26" s="16" t="n">
        <x:v>0</x:v>
      </x:c>
      <x:c r="G26" s="16" t="n">
        <x:v>0</x:v>
      </x:c>
      <x:c r="H26" s="16" t="n">
        <x:v>0</x:v>
      </x:c>
      <x:c r="I26" s="2"/>
      <x:c r="J26" s="2"/>
      <x:c r="K26" s="2"/>
      <x:c r="L26" s="2"/>
      <x:c r="M26" s="2"/>
      <x:c r="N26" s="2"/>
      <x:c r="O26" s="2"/>
      <x:c r="P26" s="2"/>
      <x:c r="Q26" s="1"/>
      <x:c r="R26" s="1"/>
    </x:row>
    <x:row r="27" ht="21" customHeight="1">
      <x:c r="A27" s="1"/>
      <x:c r="B27" s="1"/>
      <x:c r="C27" s="1"/>
      <x:c r="D27" s="1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1"/>
      <x:c r="R27" s="1"/>
    </x:row>
    <x:row r="28" ht="21" customHeight="1">
      <x:c r="A28" s="1"/>
      <x:c r="B28" s="1"/>
      <x:c r="C28" s="17" t="str">
        <x:v>Adjusted gross margin — active</x:v>
      </x:c>
      <x:c r="D28" s="17"/>
      <x:c r="E28" s="18" t="n">
        <x:f>IF(CHOOSE($E$4,ISNUMBER(E29),ISNUMBER(E30),ISNUMBER(E31)),CHOOSE($E$4,E29,E30,E31),NA())</x:f>
        <x:v>0.525</x:v>
      </x:c>
      <x:c r="F28" s="18" t="n">
        <x:f>IF(CHOOSE($E$4,ISNUMBER(F29),ISNUMBER(F30),ISNUMBER(F31)),CHOOSE($E$4,F29,F30,F31),NA())</x:f>
        <x:v>0.54</x:v>
      </x:c>
      <x:c r="G28" s="18" t="n">
        <x:f>IF(CHOOSE($E$4,ISNUMBER(G29),ISNUMBER(G30),ISNUMBER(G31)),CHOOSE($E$4,G29,G30,G31),NA())</x:f>
        <x:v>0.55</x:v>
      </x:c>
      <x:c r="H28" s="18" t="n">
        <x:f>IF(CHOOSE($E$4,ISNUMBER(H29),ISNUMBER(H30),ISNUMBER(H31)),CHOOSE($E$4,H29,H30,H31),NA())</x:f>
        <x:v>0.555</x:v>
      </x:c>
      <x:c r="I28" s="19"/>
      <x:c r="J28" s="19"/>
      <x:c r="K28" s="19"/>
      <x:c r="L28" s="19"/>
      <x:c r="M28" s="19"/>
      <x:c r="N28" s="19"/>
      <x:c r="O28" s="19"/>
      <x:c r="P28" s="19"/>
      <x:c r="Q28" s="1"/>
      <x:c r="R28" s="1"/>
    </x:row>
    <x:row r="29" ht="21" customHeight="1">
      <x:c r="A29" s="1"/>
      <x:c r="B29" s="1"/>
      <x:c r="C29" s="1" t="str">
        <x:v>Bear</x:v>
      </x:c>
      <x:c r="D29" s="1"/>
      <x:c r="E29" s="16" t="n">
        <x:v>0.52</x:v>
      </x:c>
      <x:c r="F29" s="16" t="n">
        <x:v>0.49</x:v>
      </x:c>
      <x:c r="G29" s="16" t="n">
        <x:v>0.46</x:v>
      </x:c>
      <x:c r="H29" s="16" t="n">
        <x:v>0.45</x:v>
      </x:c>
      <x:c r="I29" s="2"/>
      <x:c r="J29" s="2"/>
      <x:c r="K29" s="2"/>
      <x:c r="L29" s="2"/>
      <x:c r="M29" s="2"/>
      <x:c r="N29" s="2"/>
      <x:c r="O29" s="2"/>
      <x:c r="P29" s="2"/>
      <x:c r="Q29" s="1"/>
      <x:c r="R29" s="1"/>
    </x:row>
    <x:row r="30" ht="21" customHeight="1">
      <x:c r="A30" s="1"/>
      <x:c r="B30" s="1"/>
      <x:c r="C30" s="1" t="str">
        <x:v>Base</x:v>
      </x:c>
      <x:c r="D30" s="1"/>
      <x:c r="E30" s="16" t="n">
        <x:v>0.525</x:v>
      </x:c>
      <x:c r="F30" s="16" t="n">
        <x:v>0.54</x:v>
      </x:c>
      <x:c r="G30" s="16" t="n">
        <x:v>0.55</x:v>
      </x:c>
      <x:c r="H30" s="16" t="n">
        <x:v>0.555</x:v>
      </x:c>
      <x:c r="I30" s="2"/>
      <x:c r="J30" s="2"/>
      <x:c r="K30" s="2"/>
      <x:c r="L30" s="2"/>
      <x:c r="M30" s="2"/>
      <x:c r="N30" s="2"/>
      <x:c r="O30" s="2"/>
      <x:c r="P30" s="2"/>
      <x:c r="Q30" s="1"/>
      <x:c r="R30" s="1"/>
    </x:row>
    <x:row r="31" ht="21" customHeight="1">
      <x:c r="A31" s="1"/>
      <x:c r="B31" s="1"/>
      <x:c r="C31" s="1" t="str">
        <x:v>Bull</x:v>
      </x:c>
      <x:c r="D31" s="1"/>
      <x:c r="E31" s="16" t="n">
        <x:v>0.53</x:v>
      </x:c>
      <x:c r="F31" s="16" t="n">
        <x:v>0.555</x:v>
      </x:c>
      <x:c r="G31" s="16" t="n">
        <x:v>0.575</x:v>
      </x:c>
      <x:c r="H31" s="16" t="n">
        <x:v>0.58</x:v>
      </x:c>
      <x:c r="I31" s="2"/>
      <x:c r="J31" s="2"/>
      <x:c r="K31" s="2"/>
      <x:c r="L31" s="2"/>
      <x:c r="M31" s="2"/>
      <x:c r="N31" s="2"/>
      <x:c r="O31" s="2"/>
      <x:c r="P31" s="2"/>
      <x:c r="Q31" s="1"/>
      <x:c r="R31" s="1"/>
    </x:row>
    <x:row r="32" ht="21" customHeight="1">
      <x:c r="A32" s="1"/>
      <x:c r="B32" s="1"/>
      <x:c r="C32" s="1"/>
      <x:c r="D32" s="1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1"/>
      <x:c r="R32" s="1"/>
    </x:row>
    <x:row r="33" ht="21" customHeight="1">
      <x:c r="A33" s="1"/>
      <x:c r="B33" s="1"/>
      <x:c r="C33" s="17" t="str">
        <x:v>Fixed adjusted opex ($m) — active</x:v>
      </x:c>
      <x:c r="D33" s="17"/>
      <x:c r="E33" s="20" t="n">
        <x:f>IF(CHOOSE($E$4,ISNUMBER(E34),ISNUMBER(E35),ISNUMBER(E36)),CHOOSE($E$4,E34,E35,E36),NA())</x:f>
        <x:v>81</x:v>
      </x:c>
      <x:c r="F33" s="20" t="n">
        <x:f>IF(CHOOSE($E$4,ISNUMBER(F34),ISNUMBER(F35),ISNUMBER(F36)),CHOOSE($E$4,F34,F35,F36),NA())</x:f>
        <x:v>82</x:v>
      </x:c>
      <x:c r="G33" s="20" t="n">
        <x:f>IF(CHOOSE($E$4,ISNUMBER(G34),ISNUMBER(G35),ISNUMBER(G36)),CHOOSE($E$4,G34,G35,G36),NA())</x:f>
        <x:v>84</x:v>
      </x:c>
      <x:c r="H33" s="20" t="n">
        <x:f>IF(CHOOSE($E$4,ISNUMBER(H34),ISNUMBER(H35),ISNUMBER(H36)),CHOOSE($E$4,H34,H35,H36),NA())</x:f>
        <x:v>86</x:v>
      </x:c>
      <x:c r="I33" s="19"/>
      <x:c r="J33" s="19"/>
      <x:c r="K33" s="19"/>
      <x:c r="L33" s="19"/>
      <x:c r="M33" s="19"/>
      <x:c r="N33" s="19"/>
      <x:c r="O33" s="19"/>
      <x:c r="P33" s="19"/>
      <x:c r="Q33" s="1"/>
      <x:c r="R33" s="1"/>
    </x:row>
    <x:row r="34" ht="21" customHeight="1">
      <x:c r="A34" s="1"/>
      <x:c r="B34" s="1"/>
      <x:c r="C34" s="1" t="str">
        <x:v>Bear</x:v>
      </x:c>
      <x:c r="D34" s="1"/>
      <x:c r="E34" s="14" t="n">
        <x:v>84</x:v>
      </x:c>
      <x:c r="F34" s="14" t="n">
        <x:v>84</x:v>
      </x:c>
      <x:c r="G34" s="14" t="n">
        <x:v>84</x:v>
      </x:c>
      <x:c r="H34" s="14" t="n">
        <x:v>84</x:v>
      </x:c>
      <x:c r="I34" s="2"/>
      <x:c r="J34" s="2"/>
      <x:c r="K34" s="2"/>
      <x:c r="L34" s="2"/>
      <x:c r="M34" s="2"/>
      <x:c r="N34" s="2"/>
      <x:c r="O34" s="2"/>
      <x:c r="P34" s="2"/>
      <x:c r="Q34" s="1"/>
      <x:c r="R34" s="1"/>
    </x:row>
    <x:row r="35" ht="21" customHeight="1">
      <x:c r="A35" s="1"/>
      <x:c r="B35" s="1"/>
      <x:c r="C35" s="1" t="str">
        <x:v>Base</x:v>
      </x:c>
      <x:c r="D35" s="1"/>
      <x:c r="E35" s="14" t="n">
        <x:v>81</x:v>
      </x:c>
      <x:c r="F35" s="14" t="n">
        <x:v>82</x:v>
      </x:c>
      <x:c r="G35" s="14" t="n">
        <x:v>84</x:v>
      </x:c>
      <x:c r="H35" s="14" t="n">
        <x:v>86</x:v>
      </x:c>
      <x:c r="I35" s="2"/>
      <x:c r="J35" s="2"/>
      <x:c r="K35" s="2"/>
      <x:c r="L35" s="2"/>
      <x:c r="M35" s="2"/>
      <x:c r="N35" s="2"/>
      <x:c r="O35" s="2"/>
      <x:c r="P35" s="2"/>
      <x:c r="Q35" s="1"/>
      <x:c r="R35" s="1"/>
    </x:row>
    <x:row r="36" ht="21" customHeight="1">
      <x:c r="A36" s="1"/>
      <x:c r="B36" s="1"/>
      <x:c r="C36" s="1" t="str">
        <x:v>Bull</x:v>
      </x:c>
      <x:c r="D36" s="1"/>
      <x:c r="E36" s="14" t="n">
        <x:v>82</x:v>
      </x:c>
      <x:c r="F36" s="14" t="n">
        <x:v>85</x:v>
      </x:c>
      <x:c r="G36" s="14" t="n">
        <x:v>90</x:v>
      </x:c>
      <x:c r="H36" s="14" t="n">
        <x:v>96</x:v>
      </x:c>
      <x:c r="I36" s="2"/>
      <x:c r="J36" s="2"/>
      <x:c r="K36" s="2"/>
      <x:c r="L36" s="2"/>
      <x:c r="M36" s="2"/>
      <x:c r="N36" s="2"/>
      <x:c r="O36" s="2"/>
      <x:c r="P36" s="2"/>
      <x:c r="Q36" s="1"/>
      <x:c r="R36" s="1"/>
    </x:row>
    <x:row r="37" ht="21" customHeight="1">
      <x:c r="A37" s="1"/>
      <x:c r="B37" s="1"/>
      <x:c r="C37" s="1"/>
      <x:c r="D37" s="1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1"/>
      <x:c r="R37" s="1"/>
    </x:row>
    <x:row r="38" ht="21" customHeight="1">
      <x:c r="A38" s="1"/>
      <x:c r="B38" s="1"/>
      <x:c r="C38" s="17" t="str">
        <x:v>Annual component volume growth — active</x:v>
      </x:c>
      <x:c r="D38" s="17"/>
      <x:c r="E38" s="19"/>
      <x:c r="F38" s="19"/>
      <x:c r="G38" s="19"/>
      <x:c r="H38" s="19"/>
      <x:c r="I38" s="19"/>
      <x:c r="J38" s="18" t="n">
        <x:f>IF(CHOOSE($E$4,ISNUMBER(J39),ISNUMBER(J40),ISNUMBER(J41)),CHOOSE($E$4,J39,J40,J41),NA())</x:f>
        <x:v>0</x:v>
      </x:c>
      <x:c r="K38" s="18" t="n">
        <x:f>IF(CHOOSE($E$4,ISNUMBER(K39),ISNUMBER(K40),ISNUMBER(K41)),CHOOSE($E$4,K39,K40,K41),NA())</x:f>
        <x:v>0.45</x:v>
      </x:c>
      <x:c r="L38" s="18" t="n">
        <x:f>IF(CHOOSE($E$4,ISNUMBER(L39),ISNUMBER(L40),ISNUMBER(L41)),CHOOSE($E$4,L39,L40,L41),NA())</x:f>
        <x:v>0.3</x:v>
      </x:c>
      <x:c r="M38" s="18" t="n">
        <x:f>IF(CHOOSE($E$4,ISNUMBER(M39),ISNUMBER(M40),ISNUMBER(M41)),CHOOSE($E$4,M39,M40,M41),NA())</x:f>
        <x:v>0.2</x:v>
      </x:c>
      <x:c r="N38" s="18" t="n">
        <x:f>IF(CHOOSE($E$4,ISNUMBER(N39),ISNUMBER(N40),ISNUMBER(N41)),CHOOSE($E$4,N39,N40,N41),NA())</x:f>
        <x:v>0.15</x:v>
      </x:c>
      <x:c r="O38" s="18" t="n">
        <x:f>IF(CHOOSE($E$4,ISNUMBER(O39),ISNUMBER(O40),ISNUMBER(O41)),CHOOSE($E$4,O39,O40,O41),NA())</x:f>
        <x:v>0.1</x:v>
      </x:c>
      <x:c r="P38" s="18" t="n">
        <x:f>IF(CHOOSE($E$4,ISNUMBER(P39),ISNUMBER(P40),ISNUMBER(P41)),CHOOSE($E$4,P39,P40,P41),NA())</x:f>
        <x:v>0.08</x:v>
      </x:c>
      <x:c r="Q38" s="1"/>
      <x:c r="R38" s="1"/>
    </x:row>
    <x:row r="39" ht="21" customHeight="1">
      <x:c r="A39" s="1"/>
      <x:c r="B39" s="1"/>
      <x:c r="C39" s="1" t="str">
        <x:v>Bear</x:v>
      </x:c>
      <x:c r="D39" s="1"/>
      <x:c r="E39" s="2"/>
      <x:c r="F39" s="2"/>
      <x:c r="G39" s="2"/>
      <x:c r="H39" s="2"/>
      <x:c r="I39" s="2"/>
      <x:c r="J39" s="16" t="n">
        <x:v>0</x:v>
      </x:c>
      <x:c r="K39" s="16" t="n">
        <x:v>0.05</x:v>
      </x:c>
      <x:c r="L39" s="16" t="n">
        <x:v>0.1</x:v>
      </x:c>
      <x:c r="M39" s="16" t="n">
        <x:v>0.08</x:v>
      </x:c>
      <x:c r="N39" s="16" t="n">
        <x:v>0.06</x:v>
      </x:c>
      <x:c r="O39" s="16" t="n">
        <x:v>0.05</x:v>
      </x:c>
      <x:c r="P39" s="16" t="n">
        <x:v>0.04</x:v>
      </x:c>
      <x:c r="Q39" s="1"/>
      <x:c r="R39" s="1"/>
    </x:row>
    <x:row r="40" ht="21" customHeight="1">
      <x:c r="A40" s="1"/>
      <x:c r="B40" s="1"/>
      <x:c r="C40" s="1" t="str">
        <x:v>Base</x:v>
      </x:c>
      <x:c r="D40" s="1"/>
      <x:c r="E40" s="2"/>
      <x:c r="F40" s="2"/>
      <x:c r="G40" s="2"/>
      <x:c r="H40" s="2"/>
      <x:c r="I40" s="2"/>
      <x:c r="J40" s="16" t="n">
        <x:v>0</x:v>
      </x:c>
      <x:c r="K40" s="16" t="n">
        <x:v>0.45</x:v>
      </x:c>
      <x:c r="L40" s="16" t="n">
        <x:v>0.3</x:v>
      </x:c>
      <x:c r="M40" s="16" t="n">
        <x:v>0.2</x:v>
      </x:c>
      <x:c r="N40" s="16" t="n">
        <x:v>0.15</x:v>
      </x:c>
      <x:c r="O40" s="16" t="n">
        <x:v>0.1</x:v>
      </x:c>
      <x:c r="P40" s="16" t="n">
        <x:v>0.08</x:v>
      </x:c>
      <x:c r="Q40" s="1"/>
      <x:c r="R40" s="1"/>
    </x:row>
    <x:row r="41" ht="21" customHeight="1">
      <x:c r="A41" s="1"/>
      <x:c r="B41" s="1"/>
      <x:c r="C41" s="1" t="str">
        <x:v>Bull</x:v>
      </x:c>
      <x:c r="D41" s="1"/>
      <x:c r="E41" s="2"/>
      <x:c r="F41" s="2"/>
      <x:c r="G41" s="2"/>
      <x:c r="H41" s="2"/>
      <x:c r="I41" s="2"/>
      <x:c r="J41" s="16" t="n">
        <x:v>0</x:v>
      </x:c>
      <x:c r="K41" s="16" t="n">
        <x:v>0.6</x:v>
      </x:c>
      <x:c r="L41" s="16" t="n">
        <x:v>0.45</x:v>
      </x:c>
      <x:c r="M41" s="16" t="n">
        <x:v>0.3</x:v>
      </x:c>
      <x:c r="N41" s="16" t="n">
        <x:v>0.2</x:v>
      </x:c>
      <x:c r="O41" s="16" t="n">
        <x:v>0.15</x:v>
      </x:c>
      <x:c r="P41" s="16" t="n">
        <x:v>0.1</x:v>
      </x:c>
      <x:c r="Q41" s="1"/>
      <x:c r="R41" s="1"/>
    </x:row>
    <x:row r="42" ht="21" customHeight="1">
      <x:c r="A42" s="1"/>
      <x:c r="B42" s="1"/>
      <x:c r="C42" s="1"/>
      <x:c r="D42" s="1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1"/>
      <x:c r="R42" s="1"/>
    </x:row>
    <x:row r="43" ht="21" customHeight="1">
      <x:c r="A43" s="1"/>
      <x:c r="B43" s="1"/>
      <x:c r="C43" s="17" t="str">
        <x:v>Annual system volume growth — active</x:v>
      </x:c>
      <x:c r="D43" s="17"/>
      <x:c r="E43" s="19"/>
      <x:c r="F43" s="19"/>
      <x:c r="G43" s="19"/>
      <x:c r="H43" s="19"/>
      <x:c r="I43" s="19"/>
      <x:c r="J43" s="18" t="n">
        <x:f>IF(CHOOSE($E$4,ISNUMBER(J44),ISNUMBER(J45),ISNUMBER(J46)),CHOOSE($E$4,J44,J45,J46),NA())</x:f>
        <x:v>0</x:v>
      </x:c>
      <x:c r="K43" s="18" t="n">
        <x:f>IF(CHOOSE($E$4,ISNUMBER(K44),ISNUMBER(K45),ISNUMBER(K46)),CHOOSE($E$4,K44,K45,K46),NA())</x:f>
        <x:v>0.5</x:v>
      </x:c>
      <x:c r="L43" s="18" t="n">
        <x:f>IF(CHOOSE($E$4,ISNUMBER(L44),ISNUMBER(L45),ISNUMBER(L46)),CHOOSE($E$4,L44,L45,L46),NA())</x:f>
        <x:v>0.35</x:v>
      </x:c>
      <x:c r="M43" s="18" t="n">
        <x:f>IF(CHOOSE($E$4,ISNUMBER(M44),ISNUMBER(M45),ISNUMBER(M46)),CHOOSE($E$4,M44,M45,M46),NA())</x:f>
        <x:v>0.25</x:v>
      </x:c>
      <x:c r="N43" s="18" t="n">
        <x:f>IF(CHOOSE($E$4,ISNUMBER(N44),ISNUMBER(N45),ISNUMBER(N46)),CHOOSE($E$4,N44,N45,N46),NA())</x:f>
        <x:v>0.18</x:v>
      </x:c>
      <x:c r="O43" s="18" t="n">
        <x:f>IF(CHOOSE($E$4,ISNUMBER(O44),ISNUMBER(O45),ISNUMBER(O46)),CHOOSE($E$4,O44,O45,O46),NA())</x:f>
        <x:v>0.12</x:v>
      </x:c>
      <x:c r="P43" s="18" t="n">
        <x:f>IF(CHOOSE($E$4,ISNUMBER(P44),ISNUMBER(P45),ISNUMBER(P46)),CHOOSE($E$4,P44,P45,P46),NA())</x:f>
        <x:v>0.08</x:v>
      </x:c>
      <x:c r="Q43" s="1"/>
      <x:c r="R43" s="1"/>
    </x:row>
    <x:row r="44" ht="21" customHeight="1">
      <x:c r="A44" s="1"/>
      <x:c r="B44" s="1"/>
      <x:c r="C44" s="1" t="str">
        <x:v>Bear</x:v>
      </x:c>
      <x:c r="D44" s="1"/>
      <x:c r="E44" s="2"/>
      <x:c r="F44" s="2"/>
      <x:c r="G44" s="2"/>
      <x:c r="H44" s="2"/>
      <x:c r="I44" s="2"/>
      <x:c r="J44" s="16" t="n">
        <x:v>0</x:v>
      </x:c>
      <x:c r="K44" s="16" t="n">
        <x:v>0.08</x:v>
      </x:c>
      <x:c r="L44" s="16" t="n">
        <x:v>0.12</x:v>
      </x:c>
      <x:c r="M44" s="16" t="n">
        <x:v>0.1</x:v>
      </x:c>
      <x:c r="N44" s="16" t="n">
        <x:v>0.08</x:v>
      </x:c>
      <x:c r="O44" s="16" t="n">
        <x:v>0.06</x:v>
      </x:c>
      <x:c r="P44" s="16" t="n">
        <x:v>0.04</x:v>
      </x:c>
      <x:c r="Q44" s="1"/>
      <x:c r="R44" s="1"/>
    </x:row>
    <x:row r="45" ht="21" customHeight="1">
      <x:c r="A45" s="1"/>
      <x:c r="B45" s="1"/>
      <x:c r="C45" s="1" t="str">
        <x:v>Base</x:v>
      </x:c>
      <x:c r="D45" s="1"/>
      <x:c r="E45" s="2"/>
      <x:c r="F45" s="2"/>
      <x:c r="G45" s="2"/>
      <x:c r="H45" s="2"/>
      <x:c r="I45" s="2"/>
      <x:c r="J45" s="16" t="n">
        <x:v>0</x:v>
      </x:c>
      <x:c r="K45" s="16" t="n">
        <x:v>0.5</x:v>
      </x:c>
      <x:c r="L45" s="16" t="n">
        <x:v>0.35</x:v>
      </x:c>
      <x:c r="M45" s="16" t="n">
        <x:v>0.25</x:v>
      </x:c>
      <x:c r="N45" s="16" t="n">
        <x:v>0.18</x:v>
      </x:c>
      <x:c r="O45" s="16" t="n">
        <x:v>0.12</x:v>
      </x:c>
      <x:c r="P45" s="16" t="n">
        <x:v>0.08</x:v>
      </x:c>
      <x:c r="Q45" s="1"/>
      <x:c r="R45" s="1"/>
    </x:row>
    <x:row r="46" ht="21" customHeight="1">
      <x:c r="A46" s="1"/>
      <x:c r="B46" s="1"/>
      <x:c r="C46" s="1" t="str">
        <x:v>Bull</x:v>
      </x:c>
      <x:c r="D46" s="1"/>
      <x:c r="E46" s="2"/>
      <x:c r="F46" s="2"/>
      <x:c r="G46" s="2"/>
      <x:c r="H46" s="2"/>
      <x:c r="I46" s="2"/>
      <x:c r="J46" s="16" t="n">
        <x:v>0</x:v>
      </x:c>
      <x:c r="K46" s="16" t="n">
        <x:v>0.65</x:v>
      </x:c>
      <x:c r="L46" s="16" t="n">
        <x:v>0.5</x:v>
      </x:c>
      <x:c r="M46" s="16" t="n">
        <x:v>0.35</x:v>
      </x:c>
      <x:c r="N46" s="16" t="n">
        <x:v>0.25</x:v>
      </x:c>
      <x:c r="O46" s="16" t="n">
        <x:v>0.18</x:v>
      </x:c>
      <x:c r="P46" s="16" t="n">
        <x:v>0.1</x:v>
      </x:c>
      <x:c r="Q46" s="1"/>
      <x:c r="R46" s="1"/>
    </x:row>
    <x:row r="47" ht="21" customHeight="1">
      <x:c r="A47" s="1"/>
      <x:c r="B47" s="1"/>
      <x:c r="C47" s="1"/>
      <x:c r="D47" s="1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1"/>
      <x:c r="R47" s="1"/>
    </x:row>
    <x:row r="48" ht="21" customHeight="1">
      <x:c r="A48" s="1"/>
      <x:c r="B48" s="1"/>
      <x:c r="C48" s="17" t="str">
        <x:v>Annual adjusted gross margin — active</x:v>
      </x:c>
      <x:c r="D48" s="17"/>
      <x:c r="E48" s="19"/>
      <x:c r="F48" s="19"/>
      <x:c r="G48" s="19"/>
      <x:c r="H48" s="19"/>
      <x:c r="I48" s="19"/>
      <x:c r="J48" s="18" t="n">
        <x:f>IF(CHOOSE($E$4,ISNUMBER(J49),ISNUMBER(J50),ISNUMBER(J51)),CHOOSE($E$4,J49,J50,J51),NA())</x:f>
        <x:v>0</x:v>
      </x:c>
      <x:c r="K48" s="18" t="n">
        <x:f>IF(CHOOSE($E$4,ISNUMBER(K49),ISNUMBER(K50),ISNUMBER(K51)),CHOOSE($E$4,K49,K50,K51),NA())</x:f>
        <x:v>0.56</x:v>
      </x:c>
      <x:c r="L48" s="18" t="n">
        <x:f>IF(CHOOSE($E$4,ISNUMBER(L49),ISNUMBER(L50),ISNUMBER(L51)),CHOOSE($E$4,L49,L50,L51),NA())</x:f>
        <x:v>0.56</x:v>
      </x:c>
      <x:c r="M48" s="18" t="n">
        <x:f>IF(CHOOSE($E$4,ISNUMBER(M49),ISNUMBER(M50),ISNUMBER(M51)),CHOOSE($E$4,M49,M50,M51),NA())</x:f>
        <x:v>0.55</x:v>
      </x:c>
      <x:c r="N48" s="18" t="n">
        <x:f>IF(CHOOSE($E$4,ISNUMBER(N49),ISNUMBER(N50),ISNUMBER(N51)),CHOOSE($E$4,N49,N50,N51),NA())</x:f>
        <x:v>0.54</x:v>
      </x:c>
      <x:c r="O48" s="18" t="n">
        <x:f>IF(CHOOSE($E$4,ISNUMBER(O49),ISNUMBER(O50),ISNUMBER(O51)),CHOOSE($E$4,O49,O50,O51),NA())</x:f>
        <x:v>0.53</x:v>
      </x:c>
      <x:c r="P48" s="18" t="n">
        <x:f>IF(CHOOSE($E$4,ISNUMBER(P49),ISNUMBER(P50),ISNUMBER(P51)),CHOOSE($E$4,P49,P50,P51),NA())</x:f>
        <x:v>0.52</x:v>
      </x:c>
      <x:c r="Q48" s="1"/>
      <x:c r="R48" s="1"/>
    </x:row>
    <x:row r="49" ht="21" customHeight="1">
      <x:c r="A49" s="1"/>
      <x:c r="B49" s="1"/>
      <x:c r="C49" s="1" t="str">
        <x:v>Bear</x:v>
      </x:c>
      <x:c r="D49" s="1"/>
      <x:c r="E49" s="2"/>
      <x:c r="F49" s="2"/>
      <x:c r="G49" s="2"/>
      <x:c r="H49" s="2"/>
      <x:c r="I49" s="2"/>
      <x:c r="J49" s="16" t="n">
        <x:v>0</x:v>
      </x:c>
      <x:c r="K49" s="16" t="n">
        <x:v>0.46</x:v>
      </x:c>
      <x:c r="L49" s="16" t="n">
        <x:v>0.47</x:v>
      </x:c>
      <x:c r="M49" s="16" t="n">
        <x:v>0.47</x:v>
      </x:c>
      <x:c r="N49" s="16" t="n">
        <x:v>0.46</x:v>
      </x:c>
      <x:c r="O49" s="16" t="n">
        <x:v>0.45</x:v>
      </x:c>
      <x:c r="P49" s="16" t="n">
        <x:v>0.44</x:v>
      </x:c>
      <x:c r="Q49" s="1"/>
      <x:c r="R49" s="1"/>
    </x:row>
    <x:row r="50" ht="21" customHeight="1">
      <x:c r="A50" s="1"/>
      <x:c r="B50" s="1"/>
      <x:c r="C50" s="1" t="str">
        <x:v>Base</x:v>
      </x:c>
      <x:c r="D50" s="1"/>
      <x:c r="E50" s="2"/>
      <x:c r="F50" s="2"/>
      <x:c r="G50" s="2"/>
      <x:c r="H50" s="2"/>
      <x:c r="I50" s="2"/>
      <x:c r="J50" s="16" t="n">
        <x:v>0</x:v>
      </x:c>
      <x:c r="K50" s="16" t="n">
        <x:v>0.56</x:v>
      </x:c>
      <x:c r="L50" s="16" t="n">
        <x:v>0.56</x:v>
      </x:c>
      <x:c r="M50" s="16" t="n">
        <x:v>0.55</x:v>
      </x:c>
      <x:c r="N50" s="16" t="n">
        <x:v>0.54</x:v>
      </x:c>
      <x:c r="O50" s="16" t="n">
        <x:v>0.53</x:v>
      </x:c>
      <x:c r="P50" s="16" t="n">
        <x:v>0.52</x:v>
      </x:c>
      <x:c r="Q50" s="1"/>
      <x:c r="R50" s="1"/>
    </x:row>
    <x:row r="51" ht="21" customHeight="1">
      <x:c r="A51" s="1"/>
      <x:c r="B51" s="1"/>
      <x:c r="C51" s="1" t="str">
        <x:v>Bull</x:v>
      </x:c>
      <x:c r="D51" s="1"/>
      <x:c r="E51" s="2"/>
      <x:c r="F51" s="2"/>
      <x:c r="G51" s="2"/>
      <x:c r="H51" s="2"/>
      <x:c r="I51" s="2"/>
      <x:c r="J51" s="16" t="n">
        <x:v>0</x:v>
      </x:c>
      <x:c r="K51" s="16" t="n">
        <x:v>0.59</x:v>
      </x:c>
      <x:c r="L51" s="16" t="n">
        <x:v>0.59</x:v>
      </x:c>
      <x:c r="M51" s="16" t="n">
        <x:v>0.58</x:v>
      </x:c>
      <x:c r="N51" s="16" t="n">
        <x:v>0.57</x:v>
      </x:c>
      <x:c r="O51" s="16" t="n">
        <x:v>0.56</x:v>
      </x:c>
      <x:c r="P51" s="16" t="n">
        <x:v>0.55</x:v>
      </x:c>
      <x:c r="Q51" s="1"/>
      <x:c r="R51" s="1"/>
    </x:row>
    <x:row r="52" ht="21" customHeight="1">
      <x:c r="A52" s="1"/>
      <x:c r="B52" s="1"/>
      <x:c r="C52" s="1"/>
      <x:c r="D52" s="1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1"/>
      <x:c r="R52" s="1"/>
    </x:row>
    <x:row r="53" ht="21" customHeight="1">
      <x:c r="A53" s="1"/>
      <x:c r="B53" s="1"/>
      <x:c r="C53" s="17" t="str">
        <x:v>Annual fixed opex growth — active</x:v>
      </x:c>
      <x:c r="D53" s="17"/>
      <x:c r="E53" s="19"/>
      <x:c r="F53" s="19"/>
      <x:c r="G53" s="19"/>
      <x:c r="H53" s="19"/>
      <x:c r="I53" s="19"/>
      <x:c r="J53" s="18" t="n">
        <x:f>IF(CHOOSE($E$4,ISNUMBER(J54),ISNUMBER(J55),ISNUMBER(J56)),CHOOSE($E$4,J54,J55,J56),NA())</x:f>
        <x:v>0</x:v>
      </x:c>
      <x:c r="K53" s="18" t="n">
        <x:f>IF(CHOOSE($E$4,ISNUMBER(K54),ISNUMBER(K55),ISNUMBER(K56)),CHOOSE($E$4,K54,K55,K56),NA())</x:f>
        <x:v>0.12</x:v>
      </x:c>
      <x:c r="L53" s="18" t="n">
        <x:f>IF(CHOOSE($E$4,ISNUMBER(L54),ISNUMBER(L55),ISNUMBER(L56)),CHOOSE($E$4,L54,L55,L56),NA())</x:f>
        <x:v>0.12</x:v>
      </x:c>
      <x:c r="M53" s="18" t="n">
        <x:f>IF(CHOOSE($E$4,ISNUMBER(M54),ISNUMBER(M55),ISNUMBER(M56)),CHOOSE($E$4,M54,M55,M56),NA())</x:f>
        <x:v>0.1</x:v>
      </x:c>
      <x:c r="N53" s="18" t="n">
        <x:f>IF(CHOOSE($E$4,ISNUMBER(N54),ISNUMBER(N55),ISNUMBER(N56)),CHOOSE($E$4,N54,N55,N56),NA())</x:f>
        <x:v>0.08</x:v>
      </x:c>
      <x:c r="O53" s="18" t="n">
        <x:f>IF(CHOOSE($E$4,ISNUMBER(O54),ISNUMBER(O55),ISNUMBER(O56)),CHOOSE($E$4,O54,O55,O56),NA())</x:f>
        <x:v>0.06</x:v>
      </x:c>
      <x:c r="P53" s="18" t="n">
        <x:f>IF(CHOOSE($E$4,ISNUMBER(P54),ISNUMBER(P55),ISNUMBER(P56)),CHOOSE($E$4,P54,P55,P56),NA())</x:f>
        <x:v>0.05</x:v>
      </x:c>
      <x:c r="Q53" s="1"/>
      <x:c r="R53" s="1"/>
    </x:row>
    <x:row r="54" ht="21" customHeight="1">
      <x:c r="A54" s="1"/>
      <x:c r="B54" s="1"/>
      <x:c r="C54" s="1" t="str">
        <x:v>Bear</x:v>
      </x:c>
      <x:c r="D54" s="1"/>
      <x:c r="E54" s="2"/>
      <x:c r="F54" s="2"/>
      <x:c r="G54" s="2"/>
      <x:c r="H54" s="2"/>
      <x:c r="I54" s="2"/>
      <x:c r="J54" s="16" t="n">
        <x:v>0</x:v>
      </x:c>
      <x:c r="K54" s="16" t="n">
        <x:v>0.05</x:v>
      </x:c>
      <x:c r="L54" s="16" t="n">
        <x:v>0.05</x:v>
      </x:c>
      <x:c r="M54" s="16" t="n">
        <x:v>0.05</x:v>
      </x:c>
      <x:c r="N54" s="16" t="n">
        <x:v>0.05</x:v>
      </x:c>
      <x:c r="O54" s="16" t="n">
        <x:v>0.05</x:v>
      </x:c>
      <x:c r="P54" s="16" t="n">
        <x:v>0.05</x:v>
      </x:c>
      <x:c r="Q54" s="1"/>
      <x:c r="R54" s="1"/>
    </x:row>
    <x:row r="55" ht="21" customHeight="1">
      <x:c r="A55" s="1"/>
      <x:c r="B55" s="1"/>
      <x:c r="C55" s="1" t="str">
        <x:v>Base</x:v>
      </x:c>
      <x:c r="D55" s="1"/>
      <x:c r="E55" s="2"/>
      <x:c r="F55" s="2"/>
      <x:c r="G55" s="2"/>
      <x:c r="H55" s="2"/>
      <x:c r="I55" s="2"/>
      <x:c r="J55" s="16" t="n">
        <x:v>0</x:v>
      </x:c>
      <x:c r="K55" s="16" t="n">
        <x:v>0.12</x:v>
      </x:c>
      <x:c r="L55" s="16" t="n">
        <x:v>0.12</x:v>
      </x:c>
      <x:c r="M55" s="16" t="n">
        <x:v>0.1</x:v>
      </x:c>
      <x:c r="N55" s="16" t="n">
        <x:v>0.08</x:v>
      </x:c>
      <x:c r="O55" s="16" t="n">
        <x:v>0.06</x:v>
      </x:c>
      <x:c r="P55" s="16" t="n">
        <x:v>0.05</x:v>
      </x:c>
      <x:c r="Q55" s="1"/>
      <x:c r="R55" s="1"/>
    </x:row>
    <x:row r="56" ht="21" customHeight="1">
      <x:c r="A56" s="1"/>
      <x:c r="B56" s="1"/>
      <x:c r="C56" s="1" t="str">
        <x:v>Bull</x:v>
      </x:c>
      <x:c r="D56" s="1"/>
      <x:c r="E56" s="2"/>
      <x:c r="F56" s="2"/>
      <x:c r="G56" s="2"/>
      <x:c r="H56" s="2"/>
      <x:c r="I56" s="2"/>
      <x:c r="J56" s="16" t="n">
        <x:v>0</x:v>
      </x:c>
      <x:c r="K56" s="16" t="n">
        <x:v>0.18</x:v>
      </x:c>
      <x:c r="L56" s="16" t="n">
        <x:v>0.16</x:v>
      </x:c>
      <x:c r="M56" s="16" t="n">
        <x:v>0.12</x:v>
      </x:c>
      <x:c r="N56" s="16" t="n">
        <x:v>0.1</x:v>
      </x:c>
      <x:c r="O56" s="16" t="n">
        <x:v>0.08</x:v>
      </x:c>
      <x:c r="P56" s="16" t="n">
        <x:v>0.06</x:v>
      </x:c>
      <x:c r="Q56" s="1"/>
      <x:c r="R56" s="1"/>
    </x:row>
    <x:row r="57" ht="21" customHeight="1">
      <x:c r="A57" s="1"/>
      <x:c r="B57" s="1"/>
      <x:c r="C57" s="1"/>
      <x:c r="D57" s="1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1"/>
      <x:c r="R57" s="1"/>
    </x:row>
    <x:row r="58" ht="21" customHeight="1">
      <x:c r="A58" s="1"/>
      <x:c r="B58" s="1"/>
      <x:c r="C58" s="17" t="str">
        <x:v>Cash capex / revenue — active</x:v>
      </x:c>
      <x:c r="D58" s="17"/>
      <x:c r="E58" s="19"/>
      <x:c r="F58" s="19"/>
      <x:c r="G58" s="19"/>
      <x:c r="H58" s="19"/>
      <x:c r="I58" s="19"/>
      <x:c r="J58" s="18" t="n">
        <x:f>IF(CHOOSE($E$4,ISNUMBER(J59),ISNUMBER(J60),ISNUMBER(J61)),CHOOSE($E$4,J59,J60,J61),NA())</x:f>
        <x:v>0.15</x:v>
      </x:c>
      <x:c r="K58" s="18" t="n">
        <x:f>IF(CHOOSE($E$4,ISNUMBER(K59),ISNUMBER(K60),ISNUMBER(K61)),CHOOSE($E$4,K59,K60,K61),NA())</x:f>
        <x:v>0.14</x:v>
      </x:c>
      <x:c r="L58" s="18" t="n">
        <x:f>IF(CHOOSE($E$4,ISNUMBER(L59),ISNUMBER(L60),ISNUMBER(L61)),CHOOSE($E$4,L59,L60,L61),NA())</x:f>
        <x:v>0.12</x:v>
      </x:c>
      <x:c r="M58" s="18" t="n">
        <x:f>IF(CHOOSE($E$4,ISNUMBER(M59),ISNUMBER(M60),ISNUMBER(M61)),CHOOSE($E$4,M59,M60,M61),NA())</x:f>
        <x:v>0.1</x:v>
      </x:c>
      <x:c r="N58" s="18" t="n">
        <x:f>IF(CHOOSE($E$4,ISNUMBER(N59),ISNUMBER(N60),ISNUMBER(N61)),CHOOSE($E$4,N59,N60,N61),NA())</x:f>
        <x:v>0.08</x:v>
      </x:c>
      <x:c r="O58" s="18" t="n">
        <x:f>IF(CHOOSE($E$4,ISNUMBER(O59),ISNUMBER(O60),ISNUMBER(O61)),CHOOSE($E$4,O59,O60,O61),NA())</x:f>
        <x:v>0.07</x:v>
      </x:c>
      <x:c r="P58" s="18" t="n">
        <x:f>IF(CHOOSE($E$4,ISNUMBER(P59),ISNUMBER(P60),ISNUMBER(P61)),CHOOSE($E$4,P59,P60,P61),NA())</x:f>
        <x:v>0.06</x:v>
      </x:c>
      <x:c r="Q58" s="1"/>
      <x:c r="R58" s="1"/>
    </x:row>
    <x:row r="59" ht="21" customHeight="1">
      <x:c r="A59" s="1"/>
      <x:c r="B59" s="1"/>
      <x:c r="C59" s="1" t="str">
        <x:v>Bear</x:v>
      </x:c>
      <x:c r="D59" s="1"/>
      <x:c r="E59" s="2"/>
      <x:c r="F59" s="2"/>
      <x:c r="G59" s="2"/>
      <x:c r="H59" s="2"/>
      <x:c r="I59" s="2"/>
      <x:c r="J59" s="16" t="n">
        <x:v>0.18</x:v>
      </x:c>
      <x:c r="K59" s="16" t="n">
        <x:v>0.16</x:v>
      </x:c>
      <x:c r="L59" s="16" t="n">
        <x:v>0.13</x:v>
      </x:c>
      <x:c r="M59" s="16" t="n">
        <x:v>0.11</x:v>
      </x:c>
      <x:c r="N59" s="16" t="n">
        <x:v>0.09</x:v>
      </x:c>
      <x:c r="O59" s="16" t="n">
        <x:v>0.08</x:v>
      </x:c>
      <x:c r="P59" s="16" t="n">
        <x:v>0.07</x:v>
      </x:c>
      <x:c r="Q59" s="1"/>
      <x:c r="R59" s="1"/>
    </x:row>
    <x:row r="60" ht="21" customHeight="1">
      <x:c r="A60" s="1"/>
      <x:c r="B60" s="1"/>
      <x:c r="C60" s="1" t="str">
        <x:v>Base</x:v>
      </x:c>
      <x:c r="D60" s="1"/>
      <x:c r="E60" s="2"/>
      <x:c r="F60" s="2"/>
      <x:c r="G60" s="2"/>
      <x:c r="H60" s="2"/>
      <x:c r="I60" s="2"/>
      <x:c r="J60" s="16" t="n">
        <x:v>0.15</x:v>
      </x:c>
      <x:c r="K60" s="16" t="n">
        <x:v>0.14</x:v>
      </x:c>
      <x:c r="L60" s="16" t="n">
        <x:v>0.12</x:v>
      </x:c>
      <x:c r="M60" s="16" t="n">
        <x:v>0.1</x:v>
      </x:c>
      <x:c r="N60" s="16" t="n">
        <x:v>0.08</x:v>
      </x:c>
      <x:c r="O60" s="16" t="n">
        <x:v>0.07</x:v>
      </x:c>
      <x:c r="P60" s="16" t="n">
        <x:v>0.06</x:v>
      </x:c>
      <x:c r="Q60" s="1"/>
      <x:c r="R60" s="1"/>
    </x:row>
    <x:row r="61" ht="21" customHeight="1">
      <x:c r="A61" s="1"/>
      <x:c r="B61" s="1"/>
      <x:c r="C61" s="1" t="str">
        <x:v>Bull</x:v>
      </x:c>
      <x:c r="D61" s="1"/>
      <x:c r="E61" s="2"/>
      <x:c r="F61" s="2"/>
      <x:c r="G61" s="2"/>
      <x:c r="H61" s="2"/>
      <x:c r="I61" s="2"/>
      <x:c r="J61" s="16" t="n">
        <x:v>0.16</x:v>
      </x:c>
      <x:c r="K61" s="16" t="n">
        <x:v>0.15</x:v>
      </x:c>
      <x:c r="L61" s="16" t="n">
        <x:v>0.13</x:v>
      </x:c>
      <x:c r="M61" s="16" t="n">
        <x:v>0.11</x:v>
      </x:c>
      <x:c r="N61" s="16" t="n">
        <x:v>0.09</x:v>
      </x:c>
      <x:c r="O61" s="16" t="n">
        <x:v>0.08</x:v>
      </x:c>
      <x:c r="P61" s="16" t="n">
        <x:v>0.07</x:v>
      </x:c>
      <x:c r="Q61" s="1"/>
      <x:c r="R61" s="1"/>
    </x:row>
    <x:row r="62" ht="21" customHeight="1">
      <x:c r="A62" s="1"/>
      <x:c r="B62" s="1"/>
      <x:c r="C62" s="1"/>
      <x:c r="D62" s="1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1"/>
      <x:c r="R62" s="1"/>
    </x:row>
    <x:row r="63" ht="21" customHeight="1">
      <x:c r="A63" s="1"/>
      <x:c r="B63" s="1"/>
      <x:c r="C63" s="17" t="str">
        <x:v>Normalized cash tax rate — active</x:v>
      </x:c>
      <x:c r="D63" s="17"/>
      <x:c r="E63" s="19"/>
      <x:c r="F63" s="19"/>
      <x:c r="G63" s="19"/>
      <x:c r="H63" s="19"/>
      <x:c r="I63" s="19"/>
      <x:c r="J63" s="18" t="n">
        <x:f>IF(CHOOSE($E$4,ISNUMBER(J64),ISNUMBER(J65),ISNUMBER(J66)),CHOOSE($E$4,J64,J65,J66),NA())</x:f>
        <x:v>0.15</x:v>
      </x:c>
      <x:c r="K63" s="18" t="n">
        <x:f>IF(CHOOSE($E$4,ISNUMBER(K64),ISNUMBER(K65),ISNUMBER(K66)),CHOOSE($E$4,K64,K65,K66),NA())</x:f>
        <x:v>0.17</x:v>
      </x:c>
      <x:c r="L63" s="18" t="n">
        <x:f>IF(CHOOSE($E$4,ISNUMBER(L64),ISNUMBER(L65),ISNUMBER(L66)),CHOOSE($E$4,L64,L65,L66),NA())</x:f>
        <x:v>0.19</x:v>
      </x:c>
      <x:c r="M63" s="18" t="n">
        <x:f>IF(CHOOSE($E$4,ISNUMBER(M64),ISNUMBER(M65),ISNUMBER(M66)),CHOOSE($E$4,M64,M65,M66),NA())</x:f>
        <x:v>0.2</x:v>
      </x:c>
      <x:c r="N63" s="18" t="n">
        <x:f>IF(CHOOSE($E$4,ISNUMBER(N64),ISNUMBER(N65),ISNUMBER(N66)),CHOOSE($E$4,N64,N65,N66),NA())</x:f>
        <x:v>0.2</x:v>
      </x:c>
      <x:c r="O63" s="18" t="n">
        <x:f>IF(CHOOSE($E$4,ISNUMBER(O64),ISNUMBER(O65),ISNUMBER(O66)),CHOOSE($E$4,O64,O65,O66),NA())</x:f>
        <x:v>0.2</x:v>
      </x:c>
      <x:c r="P63" s="18" t="n">
        <x:f>IF(CHOOSE($E$4,ISNUMBER(P64),ISNUMBER(P65),ISNUMBER(P66)),CHOOSE($E$4,P64,P65,P66),NA())</x:f>
        <x:v>0.2</x:v>
      </x:c>
      <x:c r="Q63" s="1"/>
      <x:c r="R63" s="1"/>
    </x:row>
    <x:row r="64" ht="21" customHeight="1">
      <x:c r="A64" s="1"/>
      <x:c r="B64" s="1"/>
      <x:c r="C64" s="1" t="str">
        <x:v>Bear</x:v>
      </x:c>
      <x:c r="D64" s="1"/>
      <x:c r="E64" s="2"/>
      <x:c r="F64" s="2"/>
      <x:c r="G64" s="2"/>
      <x:c r="H64" s="2"/>
      <x:c r="I64" s="2"/>
      <x:c r="J64" s="16" t="n">
        <x:v>0.15</x:v>
      </x:c>
      <x:c r="K64" s="16" t="n">
        <x:v>0.17</x:v>
      </x:c>
      <x:c r="L64" s="16" t="n">
        <x:v>0.19</x:v>
      </x:c>
      <x:c r="M64" s="16" t="n">
        <x:v>0.2</x:v>
      </x:c>
      <x:c r="N64" s="16" t="n">
        <x:v>0.2</x:v>
      </x:c>
      <x:c r="O64" s="16" t="n">
        <x:v>0.2</x:v>
      </x:c>
      <x:c r="P64" s="16" t="n">
        <x:v>0.2</x:v>
      </x:c>
      <x:c r="Q64" s="1"/>
      <x:c r="R64" s="1"/>
    </x:row>
    <x:row r="65" ht="21" customHeight="1">
      <x:c r="A65" s="1"/>
      <x:c r="B65" s="1"/>
      <x:c r="C65" s="1" t="str">
        <x:v>Base</x:v>
      </x:c>
      <x:c r="D65" s="1"/>
      <x:c r="E65" s="2"/>
      <x:c r="F65" s="2"/>
      <x:c r="G65" s="2"/>
      <x:c r="H65" s="2"/>
      <x:c r="I65" s="2"/>
      <x:c r="J65" s="16" t="n">
        <x:v>0.15</x:v>
      </x:c>
      <x:c r="K65" s="16" t="n">
        <x:v>0.17</x:v>
      </x:c>
      <x:c r="L65" s="16" t="n">
        <x:v>0.19</x:v>
      </x:c>
      <x:c r="M65" s="16" t="n">
        <x:v>0.2</x:v>
      </x:c>
      <x:c r="N65" s="16" t="n">
        <x:v>0.2</x:v>
      </x:c>
      <x:c r="O65" s="16" t="n">
        <x:v>0.2</x:v>
      </x:c>
      <x:c r="P65" s="16" t="n">
        <x:v>0.2</x:v>
      </x:c>
      <x:c r="Q65" s="1"/>
      <x:c r="R65" s="1"/>
    </x:row>
    <x:row r="66" ht="21" customHeight="1">
      <x:c r="A66" s="1"/>
      <x:c r="B66" s="1"/>
      <x:c r="C66" s="1" t="str">
        <x:v>Bull</x:v>
      </x:c>
      <x:c r="D66" s="1"/>
      <x:c r="E66" s="2"/>
      <x:c r="F66" s="2"/>
      <x:c r="G66" s="2"/>
      <x:c r="H66" s="2"/>
      <x:c r="I66" s="2"/>
      <x:c r="J66" s="16" t="n">
        <x:v>0.15</x:v>
      </x:c>
      <x:c r="K66" s="16" t="n">
        <x:v>0.17</x:v>
      </x:c>
      <x:c r="L66" s="16" t="n">
        <x:v>0.19</x:v>
      </x:c>
      <x:c r="M66" s="16" t="n">
        <x:v>0.2</x:v>
      </x:c>
      <x:c r="N66" s="16" t="n">
        <x:v>0.2</x:v>
      </x:c>
      <x:c r="O66" s="16" t="n">
        <x:v>0.2</x:v>
      </x:c>
      <x:c r="P66" s="16" t="n">
        <x:v>0.2</x:v>
      </x:c>
      <x:c r="Q66" s="1"/>
      <x:c r="R66" s="1"/>
    </x:row>
    <x:row r="67" ht="21" customHeight="1">
      <x:c r="A67" s="1"/>
      <x:c r="B67" s="1"/>
      <x:c r="C67" s="1"/>
      <x:c r="D67" s="1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1"/>
      <x:c r="R67" s="1"/>
    </x:row>
    <x:row r="68" ht="21" customHeight="1">
      <x:c r="A68" s="1"/>
      <x:c r="B68" s="1"/>
      <x:c r="C68" s="17" t="str">
        <x:v>Recurring SBC / revenue — active</x:v>
      </x:c>
      <x:c r="D68" s="17"/>
      <x:c r="E68" s="19"/>
      <x:c r="F68" s="19"/>
      <x:c r="G68" s="19"/>
      <x:c r="H68" s="19"/>
      <x:c r="I68" s="19"/>
      <x:c r="J68" s="18" t="n">
        <x:f>IF(CHOOSE($E$4,ISNUMBER(J69),ISNUMBER(J70),ISNUMBER(J71)),CHOOSE($E$4,J69,J70,J71),NA())</x:f>
        <x:v>0.03</x:v>
      </x:c>
      <x:c r="K68" s="18" t="n">
        <x:f>IF(CHOOSE($E$4,ISNUMBER(K69),ISNUMBER(K70),ISNUMBER(K71)),CHOOSE($E$4,K69,K70,K71),NA())</x:f>
        <x:v>0.03</x:v>
      </x:c>
      <x:c r="L68" s="18" t="n">
        <x:f>IF(CHOOSE($E$4,ISNUMBER(L69),ISNUMBER(L70),ISNUMBER(L71)),CHOOSE($E$4,L69,L70,L71),NA())</x:f>
        <x:v>0.03</x:v>
      </x:c>
      <x:c r="M68" s="18" t="n">
        <x:f>IF(CHOOSE($E$4,ISNUMBER(M69),ISNUMBER(M70),ISNUMBER(M71)),CHOOSE($E$4,M69,M70,M71),NA())</x:f>
        <x:v>0.03</x:v>
      </x:c>
      <x:c r="N68" s="18" t="n">
        <x:f>IF(CHOOSE($E$4,ISNUMBER(N69),ISNUMBER(N70),ISNUMBER(N71)),CHOOSE($E$4,N69,N70,N71),NA())</x:f>
        <x:v>0.03</x:v>
      </x:c>
      <x:c r="O68" s="18" t="n">
        <x:f>IF(CHOOSE($E$4,ISNUMBER(O69),ISNUMBER(O70),ISNUMBER(O71)),CHOOSE($E$4,O69,O70,O71),NA())</x:f>
        <x:v>0.03</x:v>
      </x:c>
      <x:c r="P68" s="18" t="n">
        <x:f>IF(CHOOSE($E$4,ISNUMBER(P69),ISNUMBER(P70),ISNUMBER(P71)),CHOOSE($E$4,P69,P70,P71),NA())</x:f>
        <x:v>0.03</x:v>
      </x:c>
      <x:c r="Q68" s="1"/>
      <x:c r="R68" s="1"/>
    </x:row>
    <x:row r="69" ht="21" customHeight="1">
      <x:c r="A69" s="1"/>
      <x:c r="B69" s="1"/>
      <x:c r="C69" s="1" t="str">
        <x:v>Bear</x:v>
      </x:c>
      <x:c r="D69" s="1"/>
      <x:c r="E69" s="2"/>
      <x:c r="F69" s="2"/>
      <x:c r="G69" s="2"/>
      <x:c r="H69" s="2"/>
      <x:c r="I69" s="2"/>
      <x:c r="J69" s="16" t="n">
        <x:v>0.04</x:v>
      </x:c>
      <x:c r="K69" s="16" t="n">
        <x:v>0.04</x:v>
      </x:c>
      <x:c r="L69" s="16" t="n">
        <x:v>0.04</x:v>
      </x:c>
      <x:c r="M69" s="16" t="n">
        <x:v>0.04</x:v>
      </x:c>
      <x:c r="N69" s="16" t="n">
        <x:v>0.04</x:v>
      </x:c>
      <x:c r="O69" s="16" t="n">
        <x:v>0.04</x:v>
      </x:c>
      <x:c r="P69" s="16" t="n">
        <x:v>0.04</x:v>
      </x:c>
      <x:c r="Q69" s="1"/>
      <x:c r="R69" s="1"/>
    </x:row>
    <x:row r="70" ht="21" customHeight="1">
      <x:c r="A70" s="1"/>
      <x:c r="B70" s="1"/>
      <x:c r="C70" s="1" t="str">
        <x:v>Base</x:v>
      </x:c>
      <x:c r="D70" s="1"/>
      <x:c r="E70" s="2"/>
      <x:c r="F70" s="2"/>
      <x:c r="G70" s="2"/>
      <x:c r="H70" s="2"/>
      <x:c r="I70" s="2"/>
      <x:c r="J70" s="16" t="n">
        <x:v>0.03</x:v>
      </x:c>
      <x:c r="K70" s="16" t="n">
        <x:v>0.03</x:v>
      </x:c>
      <x:c r="L70" s="16" t="n">
        <x:v>0.03</x:v>
      </x:c>
      <x:c r="M70" s="16" t="n">
        <x:v>0.03</x:v>
      </x:c>
      <x:c r="N70" s="16" t="n">
        <x:v>0.03</x:v>
      </x:c>
      <x:c r="O70" s="16" t="n">
        <x:v>0.03</x:v>
      </x:c>
      <x:c r="P70" s="16" t="n">
        <x:v>0.03</x:v>
      </x:c>
      <x:c r="Q70" s="1"/>
      <x:c r="R70" s="1"/>
    </x:row>
    <x:row r="71" ht="21" customHeight="1">
      <x:c r="A71" s="1"/>
      <x:c r="B71" s="1"/>
      <x:c r="C71" s="1" t="str">
        <x:v>Bull</x:v>
      </x:c>
      <x:c r="D71" s="1"/>
      <x:c r="E71" s="2"/>
      <x:c r="F71" s="2"/>
      <x:c r="G71" s="2"/>
      <x:c r="H71" s="2"/>
      <x:c r="I71" s="2"/>
      <x:c r="J71" s="16" t="n">
        <x:v>0.03</x:v>
      </x:c>
      <x:c r="K71" s="16" t="n">
        <x:v>0.03</x:v>
      </x:c>
      <x:c r="L71" s="16" t="n">
        <x:v>0.03</x:v>
      </x:c>
      <x:c r="M71" s="16" t="n">
        <x:v>0.03</x:v>
      </x:c>
      <x:c r="N71" s="16" t="n">
        <x:v>0.03</x:v>
      </x:c>
      <x:c r="O71" s="16" t="n">
        <x:v>0.03</x:v>
      </x:c>
      <x:c r="P71" s="16" t="n">
        <x:v>0.03</x:v>
      </x:c>
      <x:c r="Q71" s="1"/>
      <x:c r="R71" s="1"/>
    </x:row>
    <x:row r="72" ht="21" customHeight="1">
      <x:c r="A72" s="1"/>
      <x:c r="B72" s="1"/>
      <x:c r="C72" s="1"/>
      <x:c r="D72" s="1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1"/>
      <x:c r="R72" s="1"/>
    </x:row>
    <x:row r="73" ht="21" customHeight="1">
      <x:c r="A73" s="1"/>
      <x:c r="B73" s="1"/>
      <x:c r="C73" s="17" t="str">
        <x:v>Inventory days — active</x:v>
      </x:c>
      <x:c r="D73" s="17"/>
      <x:c r="E73" s="19"/>
      <x:c r="F73" s="19"/>
      <x:c r="G73" s="19"/>
      <x:c r="H73" s="19"/>
      <x:c r="I73" s="19"/>
      <x:c r="J73" s="20" t="n">
        <x:f>IF(CHOOSE($E$4,ISNUMBER(J74),ISNUMBER(J75),ISNUMBER(J76)),CHOOSE($E$4,J74,J75,J76),NA())</x:f>
        <x:v>115</x:v>
      </x:c>
      <x:c r="K73" s="20" t="n">
        <x:f>IF(CHOOSE($E$4,ISNUMBER(K74),ISNUMBER(K75),ISNUMBER(K76)),CHOOSE($E$4,K74,K75,K76),NA())</x:f>
        <x:v>110</x:v>
      </x:c>
      <x:c r="L73" s="20" t="n">
        <x:f>IF(CHOOSE($E$4,ISNUMBER(L74),ISNUMBER(L75),ISNUMBER(L76)),CHOOSE($E$4,L74,L75,L76),NA())</x:f>
        <x:v>105</x:v>
      </x:c>
      <x:c r="M73" s="20" t="n">
        <x:f>IF(CHOOSE($E$4,ISNUMBER(M74),ISNUMBER(M75),ISNUMBER(M76)),CHOOSE($E$4,M74,M75,M76),NA())</x:f>
        <x:v>100</x:v>
      </x:c>
      <x:c r="N73" s="20" t="n">
        <x:f>IF(CHOOSE($E$4,ISNUMBER(N74),ISNUMBER(N75),ISNUMBER(N76)),CHOOSE($E$4,N74,N75,N76),NA())</x:f>
        <x:v>95</x:v>
      </x:c>
      <x:c r="O73" s="20" t="n">
        <x:f>IF(CHOOSE($E$4,ISNUMBER(O74),ISNUMBER(O75),ISNUMBER(O76)),CHOOSE($E$4,O74,O75,O76),NA())</x:f>
        <x:v>90</x:v>
      </x:c>
      <x:c r="P73" s="20" t="n">
        <x:f>IF(CHOOSE($E$4,ISNUMBER(P74),ISNUMBER(P75),ISNUMBER(P76)),CHOOSE($E$4,P74,P75,P76),NA())</x:f>
        <x:v>90</x:v>
      </x:c>
      <x:c r="Q73" s="1"/>
      <x:c r="R73" s="1"/>
    </x:row>
    <x:row r="74" ht="21" customHeight="1">
      <x:c r="A74" s="1"/>
      <x:c r="B74" s="1"/>
      <x:c r="C74" s="1" t="str">
        <x:v>Bear</x:v>
      </x:c>
      <x:c r="D74" s="1"/>
      <x:c r="E74" s="2"/>
      <x:c r="F74" s="2"/>
      <x:c r="G74" s="2"/>
      <x:c r="H74" s="2"/>
      <x:c r="I74" s="2"/>
      <x:c r="J74" s="14" t="n">
        <x:v>150</x:v>
      </x:c>
      <x:c r="K74" s="14" t="n">
        <x:v>150</x:v>
      </x:c>
      <x:c r="L74" s="14" t="n">
        <x:v>140</x:v>
      </x:c>
      <x:c r="M74" s="14" t="n">
        <x:v>135</x:v>
      </x:c>
      <x:c r="N74" s="14" t="n">
        <x:v>130</x:v>
      </x:c>
      <x:c r="O74" s="14" t="n">
        <x:v>125</x:v>
      </x:c>
      <x:c r="P74" s="14" t="n">
        <x:v>120</x:v>
      </x:c>
      <x:c r="Q74" s="1"/>
      <x:c r="R74" s="1"/>
    </x:row>
    <x:row r="75" ht="21" customHeight="1">
      <x:c r="A75" s="1"/>
      <x:c r="B75" s="1"/>
      <x:c r="C75" s="1" t="str">
        <x:v>Base</x:v>
      </x:c>
      <x:c r="D75" s="1"/>
      <x:c r="E75" s="2"/>
      <x:c r="F75" s="2"/>
      <x:c r="G75" s="2"/>
      <x:c r="H75" s="2"/>
      <x:c r="I75" s="2"/>
      <x:c r="J75" s="14" t="n">
        <x:v>115</x:v>
      </x:c>
      <x:c r="K75" s="14" t="n">
        <x:v>110</x:v>
      </x:c>
      <x:c r="L75" s="14" t="n">
        <x:v>105</x:v>
      </x:c>
      <x:c r="M75" s="14" t="n">
        <x:v>100</x:v>
      </x:c>
      <x:c r="N75" s="14" t="n">
        <x:v>95</x:v>
      </x:c>
      <x:c r="O75" s="14" t="n">
        <x:v>90</x:v>
      </x:c>
      <x:c r="P75" s="14" t="n">
        <x:v>90</x:v>
      </x:c>
      <x:c r="Q75" s="1"/>
      <x:c r="R75" s="1"/>
    </x:row>
    <x:row r="76" ht="21" customHeight="1">
      <x:c r="A76" s="1"/>
      <x:c r="B76" s="1"/>
      <x:c r="C76" s="1" t="str">
        <x:v>Bull</x:v>
      </x:c>
      <x:c r="D76" s="1"/>
      <x:c r="E76" s="2"/>
      <x:c r="F76" s="2"/>
      <x:c r="G76" s="2"/>
      <x:c r="H76" s="2"/>
      <x:c r="I76" s="2"/>
      <x:c r="J76" s="14" t="n">
        <x:v>105</x:v>
      </x:c>
      <x:c r="K76" s="14" t="n">
        <x:v>100</x:v>
      </x:c>
      <x:c r="L76" s="14" t="n">
        <x:v>95</x:v>
      </x:c>
      <x:c r="M76" s="14" t="n">
        <x:v>90</x:v>
      </x:c>
      <x:c r="N76" s="14" t="n">
        <x:v>85</x:v>
      </x:c>
      <x:c r="O76" s="14" t="n">
        <x:v>85</x:v>
      </x:c>
      <x:c r="P76" s="14" t="n">
        <x:v>85</x:v>
      </x:c>
      <x:c r="Q76" s="1"/>
      <x:c r="R76" s="1"/>
    </x:row>
    <x:row r="77" ht="21" customHeight="1">
      <x:c r="A77" s="1"/>
      <x:c r="B77" s="1"/>
      <x:c r="C77" s="1"/>
      <x:c r="D77" s="1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1"/>
      <x:c r="R77" s="1"/>
    </x:row>
    <x:row r="78" ht="21" customHeight="1">
      <x:c r="A78" s="1"/>
      <x:c r="B78" s="1"/>
      <x:c r="C78" s="1"/>
      <x:c r="D78" s="1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1"/>
      <x:c r="R78" s="1"/>
    </x:row>
    <x:row r="79" ht="21" customHeight="1">
      <x:c r="A79" s="1"/>
      <x:c r="B79" s="1"/>
      <x:c r="C79" s="1"/>
      <x:c r="D79" s="1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1"/>
      <x:c r="R79" s="1"/>
    </x:row>
    <x:row r="80" ht="21" customHeight="1">
      <x:c r="A80" s="1"/>
      <x:c r="B80" s="1"/>
      <x:c r="C80" s="1"/>
      <x:c r="D80" s="1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1"/>
      <x:c r="R80" s="1"/>
    </x:row>
    <x:row r="81" ht="21" customHeight="1">
      <x:c r="A81" s="1"/>
      <x:c r="B81" s="1"/>
      <x:c r="C81" s="1"/>
      <x:c r="D81" s="1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1"/>
      <x:c r="R81" s="1"/>
    </x:row>
    <x:row r="82" ht="21" customHeight="1">
      <x:c r="A82" s="1"/>
      <x:c r="B82" s="1"/>
      <x:c r="C82" s="1" t="str">
        <x:v>Variable adjusted opex / revenue</x:v>
      </x:c>
      <x:c r="D82" s="1"/>
      <x:c r="E82" s="16" t="n">
        <x:v>0.06</x:v>
      </x:c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1"/>
      <x:c r="R82" s="1"/>
    </x:row>
    <x:row r="83" ht="21" customHeight="1">
      <x:c r="A83" s="1"/>
      <x:c r="B83" s="1"/>
      <x:c r="C83" s="1" t="str">
        <x:v>Components frontier-training share (assumed)</x:v>
      </x:c>
      <x:c r="D83" s="1"/>
      <x:c r="E83" s="16" t="n">
        <x:v>0.4</x:v>
      </x:c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1"/>
      <x:c r="R83" s="1"/>
    </x:row>
    <x:row r="84" ht="21" customHeight="1">
      <x:c r="A84" s="1"/>
      <x:c r="B84" s="1"/>
      <x:c r="C84" s="1" t="str">
        <x:v>Systems frontier-training share (assumed)</x:v>
      </x:c>
      <x:c r="D84" s="1"/>
      <x:c r="E84" s="16" t="n">
        <x:v>0.35</x:v>
      </x:c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1"/>
      <x:c r="R84" s="1"/>
    </x:row>
    <x:row r="85" ht="21" customHeight="1">
      <x:c r="A85" s="1"/>
      <x:c r="B85" s="1"/>
      <x:c r="C85" s="1" t="str">
        <x:v>Diluted share proxy, millions</x:v>
      </x:c>
      <x:c r="D85" s="1"/>
      <x:c r="E85" s="14" t="n">
        <x:v>102</x:v>
      </x:c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1"/>
      <x:c r="R85" s="1"/>
    </x:row>
    <x:row r="86" ht="21" customHeight="1">
      <x:c r="A86" s="1"/>
      <x:c r="B86" s="1"/>
      <x:c r="C86" s="1" t="str">
        <x:v>DSO</x:v>
      </x:c>
      <x:c r="D86" s="1"/>
      <x:c r="E86" s="14" t="n">
        <x:v>50</x:v>
      </x:c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1"/>
      <x:c r="R86" s="1"/>
    </x:row>
    <x:row r="87" ht="21" customHeight="1">
      <x:c r="A87" s="1"/>
      <x:c r="B87" s="1"/>
      <x:c r="C87" s="1" t="str">
        <x:v>DPO (operating only)</x:v>
      </x:c>
      <x:c r="D87" s="1"/>
      <x:c r="E87" s="14" t="n">
        <x:v>70</x:v>
      </x:c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1"/>
      <x:c r="R87" s="1"/>
    </x:row>
    <x:row r="88" ht="21" customHeight="1">
      <x:c r="A88" s="1"/>
      <x:c r="B88" s="1"/>
      <x:c r="C88" s="1" t="str">
        <x:v>Other operating NWC / revenue</x:v>
      </x:c>
      <x:c r="D88" s="1"/>
      <x:c r="E88" s="16" t="n">
        <x:v>0.03</x:v>
      </x:c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1"/>
      <x:c r="R88" s="1"/>
    </x:row>
    <x:row r="89" ht="21" customHeight="1">
      <x:c r="A89" s="1"/>
      <x:c r="B89" s="1"/>
      <x:c r="C89" s="1" t="str">
        <x:v>Remaining PP&amp;E life, years</x:v>
      </x:c>
      <x:c r="D89" s="1"/>
      <x:c r="E89" s="14" t="n">
        <x:v>7</x:v>
      </x:c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1"/>
      <x:c r="R89" s="1"/>
    </x:row>
    <x:row r="90" ht="21" customHeight="1">
      <x:c r="A90" s="1"/>
      <x:c r="B90" s="1"/>
      <x:c r="C90" s="1" t="str">
        <x:v>SBC allocated to cost of sales</x:v>
      </x:c>
      <x:c r="D90" s="1"/>
      <x:c r="E90" s="16" t="n">
        <x:v>0.23</x:v>
      </x:c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1"/>
      <x:c r="R90" s="1"/>
    </x:row>
    <x:row r="91" ht="21" customHeight="1">
      <x:c r="A91" s="1"/>
      <x:c r="B91" s="1"/>
      <x:c r="C91" s="1" t="str">
        <x:v>WACC</x:v>
      </x:c>
      <x:c r="D91" s="1"/>
      <x:c r="E91" s="16" t="n">
        <x:v>0.105</x:v>
      </x:c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1"/>
      <x:c r="R91" s="1"/>
    </x:row>
    <x:row r="92" ht="21" customHeight="1">
      <x:c r="A92" s="1"/>
      <x:c r="B92" s="1"/>
      <x:c r="C92" s="1" t="str">
        <x:v>Terminal growth</x:v>
      </x:c>
      <x:c r="D92" s="1"/>
      <x:c r="E92" s="16" t="n">
        <x:v>0.035</x:v>
      </x:c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1"/>
      <x:c r="R92" s="1"/>
    </x:row>
    <x:row r="93" ht="21" customHeight="1">
      <x:c r="A93" s="1"/>
      <x:c r="B93" s="1"/>
      <x:c r="C93" s="1" t="str">
        <x:v>Terminal ROIC</x:v>
      </x:c>
      <x:c r="D93" s="1"/>
      <x:c r="E93" s="16" t="n">
        <x:v>0.2</x:v>
      </x:c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1"/>
      <x:c r="R93" s="1"/>
    </x:row>
    <x:row r="94" ht="21" customHeight="1">
      <x:c r="A94" s="1"/>
      <x:c r="B94" s="1"/>
      <x:c r="C94" s="1" t="str">
        <x:v>Days in year</x:v>
      </x:c>
      <x:c r="D94" s="1"/>
      <x:c r="E94" s="14" t="n">
        <x:v>365</x:v>
      </x:c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1"/>
      <x:c r="R94" s="1"/>
    </x:row>
    <x:row r="95" ht="21" customHeight="1">
      <x:c r="A95" s="1"/>
      <x:c r="B95" s="1"/>
      <x:c r="C95" s="1" t="str">
        <x:v>Reference date</x:v>
      </x:c>
      <x:c r="D95" s="1"/>
      <x:c r="E95" s="14" t="str">
        <x:v>2026-09-18</x:v>
      </x:c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1"/>
      <x:c r="R95" s="1"/>
    </x:row>
    <x:row r="96" ht="21" customHeight="1">
      <x:c r="A96" s="1"/>
      <x:c r="B96" s="1"/>
      <x:c r="C96" s="1" t="str">
        <x:v>FY27 net nonoperating income ($m)</x:v>
      </x:c>
      <x:c r="D96" s="1"/>
      <x:c r="E96" s="14" t="n">
        <x:v>0</x:v>
      </x:c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1"/>
      <x:c r="R96" s="1"/>
    </x:row>
    <x:row r="97" ht="21" customHeight="1">
      <x:c r="A97" s="1"/>
      <x:c r="B97" s="1"/>
      <x:c r="C97" s="1" t="str">
        <x:v>12-month exit P/E: Bear</x:v>
      </x:c>
      <x:c r="D97" s="1"/>
      <x:c r="E97" s="14" t="n">
        <x:v>25</x:v>
      </x:c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1"/>
      <x:c r="R97" s="1"/>
    </x:row>
    <x:row r="98" ht="21" customHeight="1">
      <x:c r="A98" s="1"/>
      <x:c r="B98" s="1"/>
      <x:c r="C98" s="1" t="str">
        <x:v>12-month exit P/E: Base</x:v>
      </x:c>
      <x:c r="D98" s="1"/>
      <x:c r="E98" s="14" t="n">
        <x:v>30</x:v>
      </x:c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1"/>
      <x:c r="R98" s="1"/>
    </x:row>
    <x:row r="99" ht="21" customHeight="1">
      <x:c r="A99" s="1"/>
      <x:c r="B99" s="1"/>
      <x:c r="C99" s="1" t="str">
        <x:v>12-month exit P/E: Bull</x:v>
      </x:c>
      <x:c r="D99" s="1"/>
      <x:c r="E99" s="14" t="n">
        <x:v>35</x:v>
      </x:c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1"/>
      <x:c r="R99" s="1"/>
    </x:row>
    <x:row r="100" ht="21" customHeight="1">
      <x:c r="A100" s="1"/>
      <x:c r="B100" s="1"/>
      <x:c r="C100" s="1" t="str">
        <x:v>Active 12-month exit P/E</x:v>
      </x:c>
      <x:c r="D100" s="1"/>
      <x:c r="E100" s="13" t="n">
        <x:f>CHOOSE(E4,E97,E98,E99)</x:f>
        <x:v>30</x:v>
      </x:c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1"/>
      <x:c r="R100" s="1"/>
    </x:row>
    <x:row r="101" ht="21" customHeight="1">
      <x:c r="A101" s="1"/>
      <x:c r="B101" s="1"/>
      <x:c r="C101" s="1"/>
      <x:c r="D101" s="1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1"/>
      <x:c r="R101" s="1"/>
    </x:row>
    <x:row r="102" ht="21" customHeight="1">
      <x:c r="A102" s="1"/>
      <x:c r="B102" s="1"/>
      <x:c r="C102" s="1"/>
      <x:c r="D102" s="1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1"/>
      <x:c r="R102" s="1"/>
    </x:row>
    <x:row r="103" ht="21" customHeight="1">
      <x:c r="A103" s="1"/>
      <x:c r="B103" s="1"/>
      <x:c r="C103" s="11" t="str">
        <x:v>Blue cells are editable. Volume and price/mix are scenario indices, not disclosed unit or ASP forecasts.</x:v>
      </x:c>
      <x:c r="D103" s="11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"/>
      <x:c r="R103" s="1"/>
    </x:row>
    <x:row r="104" ht="21" customHeight="1">
      <x:c r="A104" s="1"/>
      <x:c r="B104" s="1"/>
      <x:c r="C104" s="11" t="str">
        <x:v>Base quarter 1 is calibrated to company guidance; later periods are analyst assumptions, not orders.</x:v>
      </x:c>
      <x:c r="D104" s="11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"/>
      <x:c r="R104" s="1"/>
    </x:row>
    <x:row r="105" ht="21" customHeight="1">
      <x:c r="A105" s="1"/>
      <x:c r="B105" s="1"/>
      <x:c r="C105" s="11" t="str">
        <x:v>Bear includes weaker execution plus an explicit training-order haircut. No separate NVIDIA revenue added.</x:v>
      </x:c>
      <x:c r="D105" s="11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"/>
      <x:c r="R105" s="1"/>
    </x:row>
    <x:row r="106" ht="21" customHeight="1">
      <x:c r="A106" s="1"/>
      <x:c r="B106" s="1"/>
      <x:c r="C106" s="11" t="str">
        <x:v>102m diluted-share proxy starts near Q4 adjusted 101.1m; not a security-by-security conversion model.</x:v>
      </x:c>
      <x:c r="D106" s="11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"/>
      <x:c r="R106" s="1"/>
    </x:row>
    <x:row r="107" ht="21" customHeight="1">
      <x:c r="A107" s="1"/>
      <x:c r="B107" s="1"/>
      <x:c r="C107" s="11" t="str">
        <x:v>DCF treats future SBC as an economic cash cost and does not add further future SBC dilution.</x:v>
      </x:c>
      <x:c r="D107" s="11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"/>
      <x:c r="R107" s="1"/>
    </x:row>
    <x:row r="108" ht="21" customHeight="1">
      <x:c r="A108" s="1"/>
      <x:c r="B108" s="1"/>
      <x:c r="C108" s="11" t="str">
        <x:v>DPO excludes capex financing. Opening operating payables are normalized; exact split is not disclosed.</x:v>
      </x:c>
      <x:c r="D108" s="11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"/>
      <x:c r="R108" s="1"/>
    </x:row>
    <x:row r="109" ht="21" customHeight="1">
      <x:c r="A109" s="1"/>
      <x:c r="B109" s="1"/>
      <x:c r="C109" s="11" t="str">
        <x:v>DCF anchor is fiscal year-end. September price comparison has an approximately 3-month timing mismatch.</x:v>
      </x:c>
      <x:c r="D109" s="11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"/>
      <x:c r="R109" s="1"/>
    </x:row>
    <x:row r="110" ht="21" customHeight="1">
      <x:c r="A110" s="1"/>
      <x:c r="B110" s="1"/>
      <x:c r="C110" s="11" t="str">
        <x:v>WACC, terminal growth, terminal ROIC and exit multiples are sensitivity assumptions, not measured facts.</x:v>
      </x:c>
      <x:c r="D110" s="11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"/>
      <x:c r="R110" s="1"/>
    </x:row>
    <x:row r="111" ht="21" customHeight="1">
      <x:c r="A111" s="1"/>
      <x:c r="B111" s="1"/>
      <x:c r="C111" s="1"/>
      <x:c r="D111" s="1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1"/>
      <x:c r="R111" s="1"/>
    </x:row>
    <x:row r="112" ht="21" customHeight="1">
      <x:c r="A112" s="1"/>
      <x:c r="B112" s="1"/>
      <x:c r="C112" s="11" t="str">
        <x:v>Quarter growth tapers from Q1 guidance. Base assumes no price benefit; bull adds 0.5% quarterly price/mix.</x:v>
      </x:c>
      <x:c r="D112" s="11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"/>
      <x:c r="R112" s="1"/>
    </x:row>
    <x:row r="113" ht="21" customHeight="1">
      <x:c r="A113" s="1"/>
      <x:c r="B113" s="1"/>
      <x:c r="C113" s="11" t="str">
        <x:v>Gross margins extend recent gains, then fade. Fixed opex grows with scale; variable opex remains 6% of sales.</x:v>
      </x:c>
      <x:c r="D113" s="11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"/>
      <x:c r="R113" s="1"/>
    </x:row>
    <x:row r="114" ht="21" customHeight="1">
      <x:c r="A114" s="1"/>
      <x:c r="B114" s="1"/>
      <x:c r="C114" s="11" t="str">
        <x:v>Capex begins near FY26 15% of sales; base inventory days decline as the current production ramp matures.</x:v>
      </x:c>
      <x:c r="D114" s="11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"/>
      <x:c r="R114" s="1"/>
    </x:row>
    <x:row r="115" ht="21" customHeight="1">
      <x:c r="A115" s="1"/>
      <x:c r="B115" s="1"/>
      <x:c r="C115" s="11" t="str">
        <x:v>Forecast net nonoperating income is zero; no speculative interest-income benefit is included.</x:v>
      </x:c>
      <x:c r="D115" s="11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"/>
      <x:c r="R115" s="1"/>
    </x:row>
    <x:row r="116" ht="21" customHeight="1">
      <x:c r="A116" s="1"/>
      <x:c r="B116" s="1"/>
      <x:c r="C116" s="11" t="str">
        <x:v>Flat shares in EPS assume offsetting future issuance; DCF charges SBC as the economic cost of that offset.</x:v>
      </x:c>
      <x:c r="D116" s="11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"/>
      <x:c r="R116" s="1"/>
    </x:row>
    <x:row r="117" ht="21" customHeight="1">
      <x:c r="A117" s="1"/>
      <x:c r="B117" s="1"/>
      <x:c r="C117" s="1"/>
      <x:c r="D117" s="1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1"/>
      <x:c r="R117" s="1"/>
    </x:row>
    <x:row r="118" ht="21" customHeight="1">
      <x:c r="A118" s="1"/>
      <x:c r="B118" s="1"/>
      <x:c r="C118" s="1"/>
      <x:c r="D118" s="1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1"/>
      <x:c r="R118" s="1"/>
    </x:row>
    <x:row r="119" ht="21" customHeight="1">
      <x:c r="A119" s="1"/>
      <x:c r="B119" s="1"/>
      <x:c r="C119" s="1"/>
      <x:c r="D119" s="1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1"/>
      <x:c r="R119" s="1"/>
    </x:row>
    <x:row r="120" ht="21" customHeight="1">
      <x:c r="A120" s="1"/>
      <x:c r="B120" s="1"/>
      <x:c r="C120" s="1"/>
      <x:c r="D120" s="1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1"/>
      <x:c r="R120" s="1"/>
    </x:row>
    <x:row r="121" ht="21" customHeight="1">
      <x:c r="A121" s="1"/>
      <x:c r="B121" s="1"/>
      <x:c r="C121" s="1"/>
      <x:c r="D121" s="1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1"/>
      <x:c r="R121" s="1"/>
    </x:row>
    <x:row r="122" ht="21" customHeight="1">
      <x:c r="A122" s="1"/>
      <x:c r="B122" s="1"/>
      <x:c r="C122" s="1"/>
      <x:c r="D122" s="1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1"/>
      <x:c r="R122" s="1"/>
    </x:row>
    <x:row r="123" ht="21" customHeight="1">
      <x:c r="A123" s="1"/>
      <x:c r="B123" s="1"/>
      <x:c r="C123" s="1"/>
      <x:c r="D123" s="1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1"/>
      <x:c r="R123" s="1"/>
    </x:row>
    <x:row r="124" ht="21" customHeight="1">
      <x:c r="A124" s="1"/>
      <x:c r="B124" s="1"/>
      <x:c r="C124" s="1"/>
      <x:c r="D124" s="1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1"/>
      <x:c r="R124" s="1"/>
    </x:row>
    <x:row r="125" ht="21" customHeight="1">
      <x:c r="A125" s="1"/>
      <x:c r="B125" s="1"/>
      <x:c r="C125" s="1"/>
      <x:c r="D125" s="1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1"/>
      <x:c r="R125" s="1"/>
    </x:row>
    <x:row r="126" ht="21" customHeight="1">
      <x:c r="A126" s="1"/>
      <x:c r="B126" s="1"/>
      <x:c r="C126" s="1"/>
      <x:c r="D126" s="1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1"/>
      <x:c r="R126" s="1"/>
    </x:row>
    <x:row r="127" ht="21" customHeight="1">
      <x:c r="A127" s="1"/>
      <x:c r="B127" s="1"/>
      <x:c r="C127" s="1"/>
      <x:c r="D127" s="1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1"/>
      <x:c r="R127" s="1"/>
    </x:row>
    <x:row r="128" ht="21" customHeight="1">
      <x:c r="A128" s="1"/>
      <x:c r="B128" s="1"/>
      <x:c r="C128" s="1"/>
      <x:c r="D128" s="1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1"/>
      <x:c r="R128" s="1"/>
    </x:row>
    <x:row r="129" ht="21" customHeight="1">
      <x:c r="A129" s="1"/>
      <x:c r="B129" s="1"/>
      <x:c r="C129" s="1"/>
      <x:c r="D129" s="1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1"/>
      <x:c r="R129" s="1"/>
    </x:row>
    <x:row r="130" ht="21" customHeight="1">
      <x:c r="A130" s="1"/>
      <x:c r="B130" s="1"/>
      <x:c r="C130" s="1"/>
      <x:c r="D130" s="1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1"/>
      <x:c r="R130" s="1"/>
    </x:row>
    <x:row r="131" ht="21" customHeight="1">
      <x:c r="A131" s="1"/>
      <x:c r="B131" s="1"/>
      <x:c r="C131" s="1"/>
      <x:c r="D131" s="1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1"/>
      <x:c r="R131" s="1"/>
    </x:row>
    <x:row r="132" ht="21" customHeight="1">
      <x:c r="A132" s="1"/>
      <x:c r="B132" s="1"/>
      <x:c r="C132" s="1"/>
      <x:c r="D132" s="1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1"/>
      <x:c r="R132" s="1"/>
    </x:row>
    <x:row r="133" ht="21" customHeight="1">
      <x:c r="A133" s="1"/>
      <x:c r="B133" s="1"/>
      <x:c r="C133" s="1"/>
      <x:c r="D133" s="1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1"/>
      <x:c r="R133" s="1"/>
    </x:row>
    <x:row r="134" ht="21" customHeight="1">
      <x:c r="A134" s="1"/>
      <x:c r="B134" s="1"/>
      <x:c r="C134" s="1"/>
      <x:c r="D134" s="1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1"/>
      <x:c r="R134" s="1"/>
    </x:row>
    <x:row r="135" ht="21" customHeight="1">
      <x:c r="A135" s="1"/>
      <x:c r="B135" s="1"/>
      <x:c r="C135" s="1"/>
      <x:c r="D135" s="1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1"/>
      <x:c r="R135" s="1"/>
    </x:row>
    <x:row r="136" ht="21" customHeight="1">
      <x:c r="A136" s="1"/>
      <x:c r="B136" s="1"/>
      <x:c r="C136" s="1"/>
      <x:c r="D136" s="1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1"/>
      <x:c r="R136" s="1"/>
    </x:row>
    <x:row r="137" ht="21" customHeight="1">
      <x:c r="A137" s="1"/>
      <x:c r="B137" s="1"/>
      <x:c r="C137" s="1"/>
      <x:c r="D137" s="1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1"/>
      <x:c r="R137" s="1"/>
    </x:row>
    <x:row r="138" ht="21" customHeight="1">
      <x:c r="A138" s="1"/>
      <x:c r="B138" s="1"/>
      <x:c r="C138" s="1"/>
      <x:c r="D138" s="1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1"/>
      <x:c r="R138" s="1"/>
    </x:row>
    <x:row r="139" ht="21" customHeight="1">
      <x:c r="A139" s="1"/>
      <x:c r="B139" s="1"/>
      <x:c r="C139" s="1"/>
      <x:c r="D139" s="1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1"/>
      <x:c r="R139" s="1"/>
    </x:row>
    <x:row r="140" ht="21" customHeight="1">
      <x:c r="A140" s="1"/>
      <x:c r="B140" s="1"/>
      <x:c r="C140" s="1"/>
      <x:c r="D140" s="1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1"/>
      <x:c r="R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</x:row>
  </x:sheetData>
  <x:dataValidations count="1">
    <x:dataValidation type="whole" operator="between" sqref="E4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1" hidden="0" customWidth="1"/>
    <x:col min="4" max="4" width="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1" customHeight="1">
      <x:c r="A2" s="1"/>
      <x:c r="B2" s="1"/>
      <x:c r="C2" s="3" t="str">
        <x:v>Lumentum | Quarterly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1"/>
      <x:c r="R2" s="1"/>
    </x:row>
    <x:row r="3" ht="21" customHeight="1">
      <x:c r="A3" s="1"/>
      <x:c r="B3" s="1"/>
      <x:c r="C3" s="1" t="str">
        <x:v>USD millions, except EPS and share prices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1" customHeight="1">
      <x:c r="A4" s="1"/>
      <x:c r="B4" s="1"/>
      <x:c r="C4" s="1" t="str">
        <x:v>Case selected</x:v>
      </x:c>
      <x:c r="D4" s="1"/>
      <x:c r="E4" s="40" t="str">
        <x:f>'Assumptions'!F4</x:f>
        <x:v>Base</x:v>
      </x:c>
      <x:c r="F4" s="4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23" customHeight="1">
      <x:c r="A6" s="1"/>
      <x:c r="B6" s="1"/>
      <x:c r="C6" s="8" t="str">
        <x:v>FY2027 product revenue and adjusted earnings</x:v>
      </x:c>
      <x:c r="D6" s="8"/>
      <x:c r="E6" s="9"/>
      <x:c r="F6" s="9"/>
      <x:c r="G6" s="9"/>
      <x:c r="H6" s="9"/>
      <x:c r="I6" s="9"/>
      <x:c r="J6" s="9"/>
      <x:c r="K6" s="9"/>
      <x:c r="L6" s="2"/>
      <x:c r="M6" s="2"/>
      <x:c r="N6" s="2"/>
      <x:c r="O6" s="2"/>
      <x:c r="P6" s="2"/>
      <x:c r="Q6" s="1"/>
      <x:c r="R6" s="1"/>
    </x:row>
    <x:row r="7" ht="21" customHeight="1">
      <x:c r="A7" s="1"/>
      <x:c r="B7" s="1"/>
      <x:c r="C7" s="1"/>
      <x:c r="D7" s="1"/>
      <x:c r="E7" s="2" t="str">
        <x:v>Q1:27</x:v>
      </x:c>
      <x:c r="F7" s="2" t="str">
        <x:v>Q2:27</x:v>
      </x:c>
      <x:c r="G7" s="2" t="str">
        <x:v>Q3:27</x:v>
      </x:c>
      <x:c r="H7" s="2" t="str">
        <x:v>Q4:27</x:v>
      </x:c>
      <x:c r="I7" s="2" t="str">
        <x:v>FY:27</x:v>
      </x:c>
      <x:c r="J7" s="2"/>
      <x:c r="K7" s="2"/>
      <x:c r="L7" s="2"/>
      <x:c r="M7" s="2"/>
      <x:c r="N7" s="2"/>
      <x:c r="O7" s="2"/>
      <x:c r="P7" s="2"/>
      <x:c r="Q7" s="1"/>
      <x:c r="R7" s="1"/>
    </x:row>
    <x:row r="8" ht="21" customHeight="1">
      <x:c r="A8" s="1"/>
      <x:c r="B8" s="1"/>
      <x:c r="C8" s="28" t="str">
        <x:v>Component volume growth</x:v>
      </x:c>
      <x:c r="D8" s="28"/>
      <x:c r="E8" s="29" t="n">
        <x:f>'Assumptions'!E8</x:f>
        <x:v>0.232</x:v>
      </x:c>
      <x:c r="F8" s="29" t="n">
        <x:f>'Assumptions'!F8</x:f>
        <x:v>0.125</x:v>
      </x:c>
      <x:c r="G8" s="29" t="n">
        <x:f>'Assumptions'!G8</x:f>
        <x:v>0.122</x:v>
      </x:c>
      <x:c r="H8" s="29" t="n">
        <x:f>'Assumptions'!H8</x:f>
        <x:v>0.089</x:v>
      </x:c>
      <x:c r="I8" s="30"/>
      <x:c r="J8" s="2"/>
      <x:c r="K8" s="2"/>
      <x:c r="L8" s="2"/>
      <x:c r="M8" s="2"/>
      <x:c r="N8" s="2"/>
      <x:c r="O8" s="2"/>
      <x:c r="P8" s="2"/>
      <x:c r="Q8" s="1"/>
      <x:c r="R8" s="1"/>
    </x:row>
    <x:row r="9" ht="21" customHeight="1">
      <x:c r="A9" s="1"/>
      <x:c r="B9" s="1"/>
      <x:c r="C9" s="1" t="str">
        <x:v>Components before policy haircut</x:v>
      </x:c>
      <x:c r="D9" s="1"/>
      <x:c r="E9" s="21" t="n">
        <x:f>'Actuals'!G9*(1+E8)*(1+'Assumptions'!E18)</x:f>
        <x:v>800.0608</x:v>
      </x:c>
      <x:c r="F9" s="21" t="n">
        <x:f>E9*(1+F8)*(1+'Assumptions'!F18)</x:f>
        <x:v>900.0684</x:v>
      </x:c>
      <x:c r="G9" s="21" t="n">
        <x:f>F9*(1+G8)*(1+'Assumptions'!G18)</x:f>
        <x:v>1009.8767447999999</x:v>
      </x:c>
      <x:c r="H9" s="21" t="n">
        <x:f>G9*(1+H8)*(1+'Assumptions'!H18)</x:f>
        <x:v>1099.7557750872</x:v>
      </x:c>
      <x:c r="I9" s="13" t="n">
        <x:f>SUM(E9:H9)</x:f>
        <x:v>3809.7617198871994</x:v>
      </x:c>
      <x:c r="J9" s="2"/>
      <x:c r="K9" s="2"/>
      <x:c r="L9" s="2"/>
      <x:c r="M9" s="2"/>
      <x:c r="N9" s="2"/>
      <x:c r="O9" s="2"/>
      <x:c r="P9" s="2"/>
      <x:c r="Q9" s="1"/>
      <x:c r="R9" s="1"/>
    </x:row>
    <x:row r="10" ht="21" customHeight="1">
      <x:c r="A10" s="1"/>
      <x:c r="B10" s="1"/>
      <x:c r="C10" s="1" t="str">
        <x:v>Components revenue</x:v>
      </x:c>
      <x:c r="D10" s="1"/>
      <x:c r="E10" s="21" t="n">
        <x:f>E9*(1-'Assumptions'!E23*'Assumptions'!$E$83)</x:f>
        <x:v>800.0608</x:v>
      </x:c>
      <x:c r="F10" s="21" t="n">
        <x:f>F9*(1-'Assumptions'!F23*'Assumptions'!$E$83)</x:f>
        <x:v>900.0684</x:v>
      </x:c>
      <x:c r="G10" s="21" t="n">
        <x:f>G9*(1-'Assumptions'!G23*'Assumptions'!$E$83)</x:f>
        <x:v>1009.8767447999999</x:v>
      </x:c>
      <x:c r="H10" s="21" t="n">
        <x:f>H9*(1-'Assumptions'!H23*'Assumptions'!$E$83)</x:f>
        <x:v>1099.7557750872</x:v>
      </x:c>
      <x:c r="I10" s="13" t="n">
        <x:f>SUM(E10:H10)</x:f>
        <x:v>3809.7617198871994</x:v>
      </x:c>
      <x:c r="J10" s="2"/>
      <x:c r="K10" s="2"/>
      <x:c r="L10" s="2"/>
      <x:c r="M10" s="2"/>
      <x:c r="N10" s="2"/>
      <x:c r="O10" s="2"/>
      <x:c r="P10" s="2"/>
      <x:c r="Q10" s="1"/>
      <x:c r="R10" s="1"/>
    </x:row>
    <x:row r="11" ht="21" customHeight="1">
      <x:c r="A11" s="1"/>
      <x:c r="B11" s="1"/>
      <x:c r="C11" s="28" t="str">
        <x:v>System volume growth</x:v>
      </x:c>
      <x:c r="D11" s="28"/>
      <x:c r="E11" s="29" t="n">
        <x:f>'Assumptions'!E13</x:f>
        <x:v>0.261</x:v>
      </x:c>
      <x:c r="F11" s="29" t="n">
        <x:f>'Assumptions'!F13</x:f>
        <x:v>0.156</x:v>
      </x:c>
      <x:c r="G11" s="29" t="n">
        <x:f>'Assumptions'!G13</x:f>
        <x:v>0.173</x:v>
      </x:c>
      <x:c r="H11" s="29" t="n">
        <x:f>'Assumptions'!H13</x:f>
        <x:v>0.164</x:v>
      </x:c>
      <x:c r="I11" s="30"/>
      <x:c r="J11" s="2"/>
      <x:c r="K11" s="2"/>
      <x:c r="L11" s="2"/>
      <x:c r="M11" s="2"/>
      <x:c r="N11" s="2"/>
      <x:c r="O11" s="2"/>
      <x:c r="P11" s="2"/>
      <x:c r="Q11" s="1"/>
      <x:c r="R11" s="1"/>
    </x:row>
    <x:row r="12" ht="21" customHeight="1">
      <x:c r="A12" s="1"/>
      <x:c r="B12" s="1"/>
      <x:c r="C12" s="1" t="str">
        <x:v>Systems before policy haircut</x:v>
      </x:c>
      <x:c r="D12" s="1"/>
      <x:c r="E12" s="21" t="n">
        <x:f>'Actuals'!G10*(1+E11)*(1+'Assumptions'!E18)</x:f>
        <x:v>450.0509</x:v>
      </x:c>
      <x:c r="F12" s="21" t="n">
        <x:f>E12*(1+F11)*(1+'Assumptions'!F18)</x:f>
        <x:v>520.2588403999999</x:v>
      </x:c>
      <x:c r="G12" s="21" t="n">
        <x:f>F12*(1+G11)*(1+'Assumptions'!G18)</x:f>
        <x:v>610.2636197892</x:v>
      </x:c>
      <x:c r="H12" s="21" t="n">
        <x:f>G12*(1+H11)*(1+'Assumptions'!H18)</x:f>
        <x:v>710.3468534346288</x:v>
      </x:c>
      <x:c r="I12" s="13" t="n">
        <x:f>SUM(E12:H12)</x:f>
        <x:v>2290.9202136238287</x:v>
      </x:c>
      <x:c r="J12" s="2"/>
      <x:c r="K12" s="2"/>
      <x:c r="L12" s="2"/>
      <x:c r="M12" s="2"/>
      <x:c r="N12" s="2"/>
      <x:c r="O12" s="2"/>
      <x:c r="P12" s="2"/>
      <x:c r="Q12" s="1"/>
      <x:c r="R12" s="1"/>
    </x:row>
    <x:row r="13" ht="21" customHeight="1">
      <x:c r="A13" s="1"/>
      <x:c r="B13" s="1"/>
      <x:c r="C13" s="1" t="str">
        <x:v>Systems revenue</x:v>
      </x:c>
      <x:c r="D13" s="1"/>
      <x:c r="E13" s="21" t="n">
        <x:f>E12*(1-'Assumptions'!E23*'Assumptions'!$E$84)</x:f>
        <x:v>450.0509</x:v>
      </x:c>
      <x:c r="F13" s="21" t="n">
        <x:f>F12*(1-'Assumptions'!F23*'Assumptions'!$E$84)</x:f>
        <x:v>520.2588403999999</x:v>
      </x:c>
      <x:c r="G13" s="21" t="n">
        <x:f>G12*(1-'Assumptions'!G23*'Assumptions'!$E$84)</x:f>
        <x:v>610.2636197892</x:v>
      </x:c>
      <x:c r="H13" s="21" t="n">
        <x:f>H12*(1-'Assumptions'!H23*'Assumptions'!$E$84)</x:f>
        <x:v>710.3468534346288</x:v>
      </x:c>
      <x:c r="I13" s="13" t="n">
        <x:f>SUM(E13:H13)</x:f>
        <x:v>2290.9202136238287</x:v>
      </x:c>
      <x:c r="J13" s="2"/>
      <x:c r="K13" s="2"/>
      <x:c r="L13" s="2"/>
      <x:c r="M13" s="2"/>
      <x:c r="N13" s="2"/>
      <x:c r="O13" s="2"/>
      <x:c r="P13" s="2"/>
      <x:c r="Q13" s="1"/>
      <x:c r="R13" s="1"/>
    </x:row>
    <x:row r="14" ht="21" customHeight="1">
      <x:c r="A14" s="1"/>
      <x:c r="B14" s="1"/>
      <x:c r="C14" s="36" t="str">
        <x:v>Revenue</x:v>
      </x:c>
      <x:c r="D14" s="36"/>
      <x:c r="E14" s="37" t="n">
        <x:f>SUM(E10,E13)</x:f>
        <x:v>1250.1117</x:v>
      </x:c>
      <x:c r="F14" s="37" t="n">
        <x:f>SUM(F10,F13)</x:f>
        <x:v>1420.3272404</x:v>
      </x:c>
      <x:c r="G14" s="37" t="n">
        <x:f>SUM(G10,G13)</x:f>
        <x:v>1620.1403645891999</x:v>
      </x:c>
      <x:c r="H14" s="37" t="n">
        <x:f>SUM(H10,H13)</x:f>
        <x:v>1810.1026285218286</x:v>
      </x:c>
      <x:c r="I14" s="37" t="n">
        <x:f>SUM(E14:H14)</x:f>
        <x:v>6100.681933511029</x:v>
      </x:c>
      <x:c r="J14" s="2"/>
      <x:c r="K14" s="2"/>
      <x:c r="L14" s="2"/>
      <x:c r="M14" s="2"/>
      <x:c r="N14" s="2"/>
      <x:c r="O14" s="2"/>
      <x:c r="P14" s="2"/>
      <x:c r="Q14" s="1"/>
      <x:c r="R14" s="1"/>
    </x:row>
    <x:row r="15" ht="21" customHeight="1">
      <x:c r="A15" s="1"/>
      <x:c r="B15" s="1"/>
      <x:c r="C15" s="28" t="str">
        <x:v>Sequential revenue growth</x:v>
      </x:c>
      <x:c r="D15" s="28"/>
      <x:c r="E15" s="29" t="n">
        <x:f>E14/'Actuals'!G8-1</x:f>
        <x:v>0.24228530259366</x:v>
      </x:c>
      <x:c r="F15" s="31" t="n">
        <x:f>F14/E14-1</x:f>
        <x:v>0.13616026503871614</x:v>
      </x:c>
      <x:c r="G15" s="31" t="n">
        <x:f>G14/F14-1</x:f>
        <x:v>0.14068104765274203</x:v>
      </x:c>
      <x:c r="H15" s="31" t="n">
        <x:f>H14/G14-1</x:f>
        <x:v>0.11725049760166639</x:v>
      </x:c>
      <x:c r="I15" s="30"/>
      <x:c r="J15" s="2"/>
      <x:c r="K15" s="2"/>
      <x:c r="L15" s="2"/>
      <x:c r="M15" s="2"/>
      <x:c r="N15" s="2"/>
      <x:c r="O15" s="2"/>
      <x:c r="P15" s="2"/>
      <x:c r="Q15" s="1"/>
      <x:c r="R15" s="1"/>
    </x:row>
    <x:row r="16" ht="21" customHeight="1">
      <x:c r="A16" s="1"/>
      <x:c r="B16" s="1"/>
      <x:c r="C16" s="1"/>
      <x:c r="D16" s="1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1"/>
      <x:c r="R16" s="1"/>
    </x:row>
    <x:row r="17" ht="21" customHeight="1">
      <x:c r="A17" s="1"/>
      <x:c r="B17" s="1"/>
      <x:c r="C17" s="28" t="str">
        <x:v>Adjusted gross margin</x:v>
      </x:c>
      <x:c r="D17" s="28"/>
      <x:c r="E17" s="29" t="n">
        <x:f>'Assumptions'!E28</x:f>
        <x:v>0.525</x:v>
      </x:c>
      <x:c r="F17" s="29" t="n">
        <x:f>'Assumptions'!F28</x:f>
        <x:v>0.54</x:v>
      </x:c>
      <x:c r="G17" s="29" t="n">
        <x:f>'Assumptions'!G28</x:f>
        <x:v>0.55</x:v>
      </x:c>
      <x:c r="H17" s="29" t="n">
        <x:f>'Assumptions'!H28</x:f>
        <x:v>0.555</x:v>
      </x:c>
      <x:c r="I17" s="31" t="n">
        <x:f>I19/I14</x:f>
        <x:v>0.5440325438765435</x:v>
      </x:c>
      <x:c r="J17" s="2"/>
      <x:c r="K17" s="2"/>
      <x:c r="L17" s="2"/>
      <x:c r="M17" s="2"/>
      <x:c r="N17" s="2"/>
      <x:c r="O17" s="2"/>
      <x:c r="P17" s="2"/>
      <x:c r="Q17" s="1"/>
      <x:c r="R17" s="1"/>
    </x:row>
    <x:row r="18" ht="21" customHeight="1">
      <x:c r="A18" s="1"/>
      <x:c r="B18" s="1"/>
      <x:c r="C18" s="1" t="str">
        <x:v>Adjusted cost of sales</x:v>
      </x:c>
      <x:c r="D18" s="1"/>
      <x:c r="E18" s="13" t="n">
        <x:f>E14*(1-E17)</x:f>
        <x:v>593.8030574999999</x:v>
      </x:c>
      <x:c r="F18" s="13" t="n">
        <x:f>F14*(1-F17)</x:f>
        <x:v>653.3505305839999</x:v>
      </x:c>
      <x:c r="G18" s="13" t="n">
        <x:f>G14*(1-G17)</x:f>
        <x:v>729.0631640651399</x:v>
      </x:c>
      <x:c r="H18" s="13" t="n">
        <x:f>H14*(1-H17)</x:f>
        <x:v>805.4956696922136</x:v>
      </x:c>
      <x:c r="I18" s="13" t="n">
        <x:f>SUM(E18:H18)</x:f>
        <x:v>2781.7124218413533</x:v>
      </x:c>
      <x:c r="J18" s="2"/>
      <x:c r="K18" s="2"/>
      <x:c r="L18" s="2"/>
      <x:c r="M18" s="2"/>
      <x:c r="N18" s="2"/>
      <x:c r="O18" s="2"/>
      <x:c r="P18" s="2"/>
      <x:c r="Q18" s="1"/>
      <x:c r="R18" s="1"/>
    </x:row>
    <x:row r="19" ht="21" customHeight="1">
      <x:c r="A19" s="1"/>
      <x:c r="B19" s="1"/>
      <x:c r="C19" s="1" t="str">
        <x:v>Adjusted gross profit</x:v>
      </x:c>
      <x:c r="D19" s="1"/>
      <x:c r="E19" s="13" t="n">
        <x:f>E14-E18</x:f>
        <x:v>656.3086425</x:v>
      </x:c>
      <x:c r="F19" s="13" t="n">
        <x:f>F14-F18</x:f>
        <x:v>766.976709816</x:v>
      </x:c>
      <x:c r="G19" s="13" t="n">
        <x:f>G14-G18</x:f>
        <x:v>891.07720052406</x:v>
      </x:c>
      <x:c r="H19" s="13" t="n">
        <x:f>H14-H18</x:f>
        <x:v>1004.606958829615</x:v>
      </x:c>
      <x:c r="I19" s="13" t="n">
        <x:f>SUM(E19:H19)</x:f>
        <x:v>3318.9695116696753</x:v>
      </x:c>
      <x:c r="J19" s="2"/>
      <x:c r="K19" s="2"/>
      <x:c r="L19" s="2"/>
      <x:c r="M19" s="2"/>
      <x:c r="N19" s="2"/>
      <x:c r="O19" s="2"/>
      <x:c r="P19" s="2"/>
      <x:c r="Q19" s="1"/>
      <x:c r="R19" s="1"/>
    </x:row>
    <x:row r="20" ht="21" customHeight="1">
      <x:c r="A20" s="1"/>
      <x:c r="B20" s="1"/>
      <x:c r="C20" s="1" t="str">
        <x:v>Fixed adjusted opex</x:v>
      </x:c>
      <x:c r="D20" s="1"/>
      <x:c r="E20" s="21" t="n">
        <x:f>'Assumptions'!E33</x:f>
        <x:v>81</x:v>
      </x:c>
      <x:c r="F20" s="21" t="n">
        <x:f>'Assumptions'!F33</x:f>
        <x:v>82</x:v>
      </x:c>
      <x:c r="G20" s="21" t="n">
        <x:f>'Assumptions'!G33</x:f>
        <x:v>84</x:v>
      </x:c>
      <x:c r="H20" s="21" t="n">
        <x:f>'Assumptions'!H33</x:f>
        <x:v>86</x:v>
      </x:c>
      <x:c r="I20" s="13" t="n">
        <x:f>SUM(E20:H20)</x:f>
        <x:v>333</x:v>
      </x:c>
      <x:c r="J20" s="2"/>
      <x:c r="K20" s="2"/>
      <x:c r="L20" s="2"/>
      <x:c r="M20" s="2"/>
      <x:c r="N20" s="2"/>
      <x:c r="O20" s="2"/>
      <x:c r="P20" s="2"/>
      <x:c r="Q20" s="1"/>
      <x:c r="R20" s="1"/>
    </x:row>
    <x:row r="21" ht="21" customHeight="1">
      <x:c r="A21" s="1"/>
      <x:c r="B21" s="1"/>
      <x:c r="C21" s="1" t="str">
        <x:v>Variable adjusted opex</x:v>
      </x:c>
      <x:c r="D21" s="1"/>
      <x:c r="E21" s="21" t="n">
        <x:f>E14*'Assumptions'!$E$82</x:f>
        <x:v>75.00670199999999</x:v>
      </x:c>
      <x:c r="F21" s="21" t="n">
        <x:f>F14*'Assumptions'!$E$82</x:f>
        <x:v>85.21963442399999</x:v>
      </x:c>
      <x:c r="G21" s="21" t="n">
        <x:f>G14*'Assumptions'!$E$82</x:f>
        <x:v>97.20842187535199</x:v>
      </x:c>
      <x:c r="H21" s="21" t="n">
        <x:f>H14*'Assumptions'!$E$82</x:f>
        <x:v>108.6061577113097</x:v>
      </x:c>
      <x:c r="I21" s="13" t="n">
        <x:f>SUM(E21:H21)</x:f>
        <x:v>366.0409160106617</x:v>
      </x:c>
      <x:c r="J21" s="2"/>
      <x:c r="K21" s="2"/>
      <x:c r="L21" s="2"/>
      <x:c r="M21" s="2"/>
      <x:c r="N21" s="2"/>
      <x:c r="O21" s="2"/>
      <x:c r="P21" s="2"/>
      <x:c r="Q21" s="1"/>
      <x:c r="R21" s="1"/>
    </x:row>
    <x:row r="22" ht="21" customHeight="1">
      <x:c r="A22" s="1"/>
      <x:c r="B22" s="1"/>
      <x:c r="C22" s="36" t="str">
        <x:v>Adjusted operating profit</x:v>
      </x:c>
      <x:c r="D22" s="36"/>
      <x:c r="E22" s="37" t="n">
        <x:f>E19-SUM(E20:E21)</x:f>
        <x:v>500.3019405</x:v>
      </x:c>
      <x:c r="F22" s="37" t="n">
        <x:f>F19-SUM(F20:F21)</x:f>
        <x:v>599.757075392</x:v>
      </x:c>
      <x:c r="G22" s="37" t="n">
        <x:f>G19-SUM(G20:G21)</x:f>
        <x:v>709.868778648708</x:v>
      </x:c>
      <x:c r="H22" s="37" t="n">
        <x:f>H19-SUM(H20:H21)</x:f>
        <x:v>810.0008011183053</x:v>
      </x:c>
      <x:c r="I22" s="37" t="n">
        <x:f>SUM(E22:H22)</x:f>
        <x:v>2619.9285956590134</x:v>
      </x:c>
      <x:c r="J22" s="2"/>
      <x:c r="K22" s="2"/>
      <x:c r="L22" s="2"/>
      <x:c r="M22" s="2"/>
      <x:c r="N22" s="2"/>
      <x:c r="O22" s="2"/>
      <x:c r="P22" s="2"/>
      <x:c r="Q22" s="1"/>
      <x:c r="R22" s="1"/>
    </x:row>
    <x:row r="23" ht="21" customHeight="1">
      <x:c r="A23" s="1"/>
      <x:c r="B23" s="1"/>
      <x:c r="C23" s="28" t="str">
        <x:v>Adjusted operating margin</x:v>
      </x:c>
      <x:c r="D23" s="28"/>
      <x:c r="E23" s="31" t="n">
        <x:f>E22/E14</x:f>
        <x:v>0.4002057900106047</x:v>
      </x:c>
      <x:c r="F23" s="31" t="n">
        <x:f>F22/F14</x:f>
        <x:v>0.42226682579367647</x:v>
      </x:c>
      <x:c r="G23" s="31" t="n">
        <x:f>G22/G14</x:f>
        <x:v>0.43815264045266916</x:v>
      </x:c>
      <x:c r="H23" s="31" t="n">
        <x:f>H22/H14</x:f>
        <x:v>0.44748888176565466</x:v>
      </x:c>
      <x:c r="I23" s="31" t="n">
        <x:f>I22/I14</x:f>
        <x:v>0.42944848202423946</x:v>
      </x:c>
      <x:c r="J23" s="2"/>
      <x:c r="K23" s="2"/>
      <x:c r="L23" s="2"/>
      <x:c r="M23" s="2"/>
      <x:c r="N23" s="2"/>
      <x:c r="O23" s="2"/>
      <x:c r="P23" s="2"/>
      <x:c r="Q23" s="1"/>
      <x:c r="R23" s="1"/>
    </x:row>
    <x:row r="24" ht="21" customHeight="1">
      <x:c r="A24" s="1"/>
      <x:c r="B24" s="1"/>
      <x:c r="C24" s="1" t="str">
        <x:v>Net nonoperating income</x:v>
      </x:c>
      <x:c r="D24" s="1"/>
      <x:c r="E24" s="21" t="n">
        <x:f>'Assumptions'!$E$96/4</x:f>
        <x:v>0</x:v>
      </x:c>
      <x:c r="F24" s="21" t="n">
        <x:f>'Assumptions'!$E$96/4</x:f>
        <x:v>0</x:v>
      </x:c>
      <x:c r="G24" s="21" t="n">
        <x:f>'Assumptions'!$E$96/4</x:f>
        <x:v>0</x:v>
      </x:c>
      <x:c r="H24" s="21" t="n">
        <x:f>'Assumptions'!$E$96/4</x:f>
        <x:v>0</x:v>
      </x:c>
      <x:c r="I24" s="13" t="n">
        <x:f>SUM(E24:H24)</x:f>
        <x:v>0</x:v>
      </x:c>
      <x:c r="J24" s="2"/>
      <x:c r="K24" s="2"/>
      <x:c r="L24" s="2"/>
      <x:c r="M24" s="2"/>
      <x:c r="N24" s="2"/>
      <x:c r="O24" s="2"/>
      <x:c r="P24" s="2"/>
      <x:c r="Q24" s="1"/>
      <x:c r="R24" s="1"/>
    </x:row>
    <x:row r="25" ht="21" customHeight="1">
      <x:c r="A25" s="1"/>
      <x:c r="B25" s="1"/>
      <x:c r="C25" s="28" t="str">
        <x:v>Tax rate</x:v>
      </x:c>
      <x:c r="D25" s="28"/>
      <x:c r="E25" s="29" t="n">
        <x:f>'Assumptions'!J63</x:f>
        <x:v>0.15</x:v>
      </x:c>
      <x:c r="F25" s="29" t="n">
        <x:f>'Assumptions'!J63</x:f>
        <x:v>0.15</x:v>
      </x:c>
      <x:c r="G25" s="29" t="n">
        <x:f>'Assumptions'!J63</x:f>
        <x:v>0.15</x:v>
      </x:c>
      <x:c r="H25" s="29" t="n">
        <x:f>'Assumptions'!J63</x:f>
        <x:v>0.15</x:v>
      </x:c>
      <x:c r="I25" s="31" t="n">
        <x:f>I26/SUM(I22,I24)</x:f>
        <x:v>0.15000000000000002</x:v>
      </x:c>
      <x:c r="J25" s="2"/>
      <x:c r="K25" s="2"/>
      <x:c r="L25" s="2"/>
      <x:c r="M25" s="2"/>
      <x:c r="N25" s="2"/>
      <x:c r="O25" s="2"/>
      <x:c r="P25" s="2"/>
      <x:c r="Q25" s="1"/>
      <x:c r="R25" s="1"/>
    </x:row>
    <x:row r="26" ht="21" customHeight="1">
      <x:c r="A26" s="1"/>
      <x:c r="B26" s="1"/>
      <x:c r="C26" s="1" t="str">
        <x:v>Adjusted tax expense</x:v>
      </x:c>
      <x:c r="D26" s="1"/>
      <x:c r="E26" s="13" t="n">
        <x:f>SUM(E22,E24)*E25</x:f>
        <x:v>75.045291075</x:v>
      </x:c>
      <x:c r="F26" s="13" t="n">
        <x:f>SUM(F22,F24)*F25</x:f>
        <x:v>89.96356130880001</x:v>
      </x:c>
      <x:c r="G26" s="13" t="n">
        <x:f>SUM(G22,G24)*G25</x:f>
        <x:v>106.4803167973062</x:v>
      </x:c>
      <x:c r="H26" s="13" t="n">
        <x:f>SUM(H22,H24)*H25</x:f>
        <x:v>121.50012016774579</x:v>
      </x:c>
      <x:c r="I26" s="13" t="n">
        <x:f>SUM(E26:H26)</x:f>
        <x:v>392.989289348852</x:v>
      </x:c>
      <x:c r="J26" s="2"/>
      <x:c r="K26" s="2"/>
      <x:c r="L26" s="2"/>
      <x:c r="M26" s="2"/>
      <x:c r="N26" s="2"/>
      <x:c r="O26" s="2"/>
      <x:c r="P26" s="2"/>
      <x:c r="Q26" s="1"/>
      <x:c r="R26" s="1"/>
    </x:row>
    <x:row r="27" ht="21" customHeight="1">
      <x:c r="A27" s="1"/>
      <x:c r="B27" s="1"/>
      <x:c r="C27" s="36" t="str">
        <x:v>Adjusted net income</x:v>
      </x:c>
      <x:c r="D27" s="36"/>
      <x:c r="E27" s="37" t="n">
        <x:f>SUM(E22,E24)-E26</x:f>
        <x:v>425.256649425</x:v>
      </x:c>
      <x:c r="F27" s="37" t="n">
        <x:f>SUM(F22,F24)-F26</x:f>
        <x:v>509.7935140832</x:v>
      </x:c>
      <x:c r="G27" s="37" t="n">
        <x:f>SUM(G22,G24)-G26</x:f>
        <x:v>603.3884618514019</x:v>
      </x:c>
      <x:c r="H27" s="37" t="n">
        <x:f>SUM(H22,H24)-H26</x:f>
        <x:v>688.5006809505595</x:v>
      </x:c>
      <x:c r="I27" s="37" t="n">
        <x:f>SUM(E27:H27)</x:f>
        <x:v>2226.9393063101616</x:v>
      </x:c>
      <x:c r="J27" s="2"/>
      <x:c r="K27" s="2"/>
      <x:c r="L27" s="2"/>
      <x:c r="M27" s="2"/>
      <x:c r="N27" s="2"/>
      <x:c r="O27" s="2"/>
      <x:c r="P27" s="2"/>
      <x:c r="Q27" s="1"/>
      <x:c r="R27" s="1"/>
    </x:row>
    <x:row r="28" ht="21" customHeight="1">
      <x:c r="A28" s="1"/>
      <x:c r="B28" s="1"/>
      <x:c r="C28" s="1" t="str">
        <x:v>Diluted shares (proxy)</x:v>
      </x:c>
      <x:c r="D28" s="1"/>
      <x:c r="E28" s="21" t="n">
        <x:f>'Assumptions'!$E$85</x:f>
        <x:v>102</x:v>
      </x:c>
      <x:c r="F28" s="21" t="n">
        <x:f>'Assumptions'!$E$85</x:f>
        <x:v>102</x:v>
      </x:c>
      <x:c r="G28" s="21" t="n">
        <x:f>'Assumptions'!$E$85</x:f>
        <x:v>102</x:v>
      </x:c>
      <x:c r="H28" s="21" t="n">
        <x:f>'Assumptions'!$E$85</x:f>
        <x:v>102</x:v>
      </x:c>
      <x:c r="I28" s="13" t="n">
        <x:f>AVERAGE(E28:H28)</x:f>
        <x:v>102</x:v>
      </x:c>
      <x:c r="J28" s="2"/>
      <x:c r="K28" s="2"/>
      <x:c r="L28" s="2"/>
      <x:c r="M28" s="2"/>
      <x:c r="N28" s="2"/>
      <x:c r="O28" s="2"/>
      <x:c r="P28" s="2"/>
      <x:c r="Q28" s="1"/>
      <x:c r="R28" s="1"/>
    </x:row>
    <x:row r="29" ht="21" customHeight="1">
      <x:c r="A29" s="1"/>
      <x:c r="B29" s="1"/>
      <x:c r="C29" s="36" t="str">
        <x:v>Adjusted EPS</x:v>
      </x:c>
      <x:c r="D29" s="36"/>
      <x:c r="E29" s="39" t="n">
        <x:f>E27/E28</x:f>
        <x:v>4.1691828375</x:v>
      </x:c>
      <x:c r="F29" s="39" t="n">
        <x:f>F27/F28</x:f>
        <x:v>4.9979756282666665</x:v>
      </x:c>
      <x:c r="G29" s="39" t="n">
        <x:f>G27/G28</x:f>
        <x:v>5.915573155405901</x:v>
      </x:c>
      <x:c r="H29" s="39" t="n">
        <x:f>H27/H28</x:f>
        <x:v>6.750006675985878</x:v>
      </x:c>
      <x:c r="I29" s="39" t="n">
        <x:f>SUM(E29:H29)</x:f>
        <x:v>21.832738297158443</x:v>
      </x:c>
      <x:c r="J29" s="2"/>
      <x:c r="K29" s="2"/>
      <x:c r="L29" s="2"/>
      <x:c r="M29" s="2"/>
      <x:c r="N29" s="2"/>
      <x:c r="O29" s="2"/>
      <x:c r="P29" s="2"/>
      <x:c r="Q29" s="1"/>
      <x:c r="R29" s="1"/>
    </x:row>
    <x:row r="30" ht="21" customHeight="1">
      <x:c r="A30" s="1"/>
      <x:c r="B30" s="1"/>
      <x:c r="C30" s="1"/>
      <x:c r="D30" s="1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1"/>
      <x:c r="R30" s="1"/>
    </x:row>
    <x:row r="31" ht="21" customHeight="1">
      <x:c r="A31" s="1"/>
      <x:c r="B31" s="1"/>
      <x:c r="C31" s="1"/>
      <x:c r="D31" s="1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1"/>
      <x:c r="R31" s="1"/>
    </x:row>
    <x:row r="32" ht="21" customHeight="1">
      <x:c r="A32" s="1"/>
      <x:c r="B32" s="1"/>
      <x:c r="C32" s="11" t="str">
        <x:v>Revenue = delivered-volume index × price/mix, then the exposed training-order haircut.</x:v>
      </x:c>
      <x:c r="D32" s="11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"/>
      <x:c r="R32" s="1"/>
    </x:row>
    <x:row r="33" ht="21" customHeight="1">
      <x:c r="A33" s="1"/>
      <x:c r="B33" s="1"/>
      <x:c r="C33" s="11" t="str">
        <x:v>Product categories are reported; training shares and forecast volumes are assumptions.</x:v>
      </x:c>
      <x:c r="D33" s="11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"/>
      <x:c r="R33" s="1"/>
    </x:row>
    <x:row r="34" ht="21" customHeight="1">
      <x:c r="A34" s="1"/>
      <x:c r="B34" s="1"/>
      <x:c r="C34" s="11" t="str">
        <x:v>Adjusted EPS excludes recurring stock compensation. DCF deducts that economic cost separately.</x:v>
      </x:c>
      <x:c r="D34" s="11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"/>
      <x:c r="R34" s="1"/>
    </x:row>
    <x:row r="35" ht="21" customHeight="1">
      <x:c r="A35" s="1"/>
      <x:c r="B35" s="1"/>
      <x:c r="C35" s="1"/>
      <x:c r="D35" s="1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1"/>
      <x:c r="R35" s="1"/>
    </x:row>
    <x:row r="36" ht="21" customHeight="1">
      <x:c r="A36" s="1"/>
      <x:c r="B36" s="1"/>
      <x:c r="C36" s="1"/>
      <x:c r="D36" s="1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1"/>
      <x:c r="R36" s="1"/>
    </x:row>
    <x:row r="37" ht="23" customHeight="1">
      <x:c r="A37" s="1"/>
      <x:c r="B37" s="1"/>
      <x:c r="C37" s="8" t="str">
        <x:v>Forecast checks</x:v>
      </x:c>
      <x:c r="D37" s="8"/>
      <x:c r="E37" s="9"/>
      <x:c r="F37" s="9"/>
      <x:c r="G37" s="9"/>
      <x:c r="H37" s="9"/>
      <x:c r="I37" s="9"/>
      <x:c r="J37" s="9"/>
      <x:c r="K37" s="9"/>
      <x:c r="L37" s="2"/>
      <x:c r="M37" s="2"/>
      <x:c r="N37" s="2"/>
      <x:c r="O37" s="2"/>
      <x:c r="P37" s="2"/>
      <x:c r="Q37" s="1"/>
      <x:c r="R37" s="1"/>
    </x:row>
    <x:row r="38" ht="21" customHeight="1">
      <x:c r="A38" s="1"/>
      <x:c r="B38" s="1"/>
      <x:c r="C38" s="1" t="str">
        <x:v>Q1 revenue within issued range</x:v>
      </x:c>
      <x:c r="D38" s="1"/>
      <x:c r="E38" s="21" t="str">
        <x:f>IF(AND(E14&gt;='Actuals'!F32,E14&lt;='Actuals'!F33),"Within","Outside")</x:f>
        <x:v>Within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1"/>
      <x:c r="R38" s="1"/>
    </x:row>
    <x:row r="39" ht="21" customHeight="1">
      <x:c r="A39" s="1"/>
      <x:c r="B39" s="1"/>
      <x:c r="C39" s="1" t="str">
        <x:v>Q1 EPS within issued range</x:v>
      </x:c>
      <x:c r="D39" s="1"/>
      <x:c r="E39" s="21" t="str">
        <x:f>IF(AND(E29&gt;='Actuals'!F34,E29&lt;='Actuals'!F35),"Within","Outside")</x:f>
        <x:v>Within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1"/>
      <x:c r="R39" s="1"/>
    </x:row>
    <x:row r="40" ht="21" customHeight="1">
      <x:c r="A40" s="1"/>
      <x:c r="B40" s="1"/>
      <x:c r="C40" s="1" t="str">
        <x:v>Quarterly vs annual revenue difference</x:v>
      </x:c>
      <x:c r="D40" s="1"/>
      <x:c r="E40" s="21" t="n">
        <x:f>I14-'DCF'!E10</x:f>
        <x:v>0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1"/>
      <x:c r="R40" s="1"/>
    </x:row>
    <x:row r="41" ht="21" customHeight="1">
      <x:c r="A41" s="1"/>
      <x:c r="B41" s="1"/>
      <x:c r="C41" s="1" t="str">
        <x:v>Quarterly vs annual EBIT difference</x:v>
      </x:c>
      <x:c r="D41" s="1"/>
      <x:c r="E41" s="21" t="n">
        <x:f>I22-'DCF'!E17</x:f>
        <x:v>-4.547473508864641e-13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1"/>
      <x:c r="R41" s="1"/>
    </x:row>
    <x:row r="42" ht="21" customHeight="1">
      <x:c r="A42" s="1"/>
      <x:c r="B42" s="1"/>
      <x:c r="C42" s="1"/>
      <x:c r="D42" s="1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1"/>
      <x:c r="R42" s="1"/>
    </x:row>
    <x:row r="43" ht="21" customHeight="1">
      <x:c r="A43" s="1"/>
      <x:c r="B43" s="1"/>
      <x:c r="C43" s="1"/>
      <x:c r="D43" s="1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1"/>
      <x:c r="R43" s="1"/>
    </x:row>
    <x:row r="44" ht="21" customHeight="1">
      <x:c r="A44" s="1"/>
      <x:c r="B44" s="1"/>
      <x:c r="C44" s="1"/>
      <x:c r="D44" s="1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1"/>
      <x:c r="R44" s="1"/>
    </x:row>
    <x:row r="45" ht="21" customHeight="1">
      <x:c r="A45" s="1"/>
      <x:c r="B45" s="1"/>
      <x:c r="C45" s="1"/>
      <x:c r="D45" s="1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1"/>
      <x:c r="R45" s="1"/>
    </x:row>
    <x:row r="46" ht="21" customHeight="1">
      <x:c r="A46" s="1"/>
      <x:c r="B46" s="1"/>
      <x:c r="C46" s="1"/>
      <x:c r="D46" s="1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1"/>
      <x:c r="R46" s="1"/>
    </x:row>
    <x:row r="47" ht="21" customHeight="1">
      <x:c r="A47" s="1"/>
      <x:c r="B47" s="1"/>
      <x:c r="C47" s="1"/>
      <x:c r="D47" s="1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1"/>
      <x:c r="R47" s="1"/>
    </x:row>
    <x:row r="48" ht="21" customHeight="1">
      <x:c r="A48" s="1"/>
      <x:c r="B48" s="1"/>
      <x:c r="C48" s="1"/>
      <x:c r="D48" s="1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1"/>
      <x:c r="R48" s="1"/>
    </x:row>
    <x:row r="49" ht="21" customHeight="1">
      <x:c r="A49" s="1"/>
      <x:c r="B49" s="1"/>
      <x:c r="C49" s="1"/>
      <x:c r="D49" s="1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1"/>
      <x:c r="R49" s="1"/>
    </x:row>
    <x:row r="50" ht="21" customHeight="1">
      <x:c r="A50" s="1"/>
      <x:c r="B50" s="1"/>
      <x:c r="C50" s="1"/>
      <x:c r="D50" s="1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1"/>
      <x:c r="R50" s="1"/>
    </x:row>
    <x:row r="51" ht="21" customHeight="1">
      <x:c r="A51" s="1"/>
      <x:c r="B51" s="1"/>
      <x:c r="C51" s="1"/>
      <x:c r="D51" s="1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1"/>
      <x:c r="R51" s="1"/>
    </x:row>
    <x:row r="52" ht="21" customHeight="1">
      <x:c r="A52" s="1"/>
      <x:c r="B52" s="1"/>
      <x:c r="C52" s="1"/>
      <x:c r="D52" s="1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1"/>
      <x:c r="R52" s="1"/>
    </x:row>
    <x:row r="53" ht="21" customHeight="1">
      <x:c r="A53" s="1"/>
      <x:c r="B53" s="1"/>
      <x:c r="C53" s="1"/>
      <x:c r="D53" s="1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1"/>
      <x:c r="R53" s="1"/>
    </x:row>
    <x:row r="54" ht="21" customHeight="1">
      <x:c r="A54" s="1"/>
      <x:c r="B54" s="1"/>
      <x:c r="C54" s="1"/>
      <x:c r="D54" s="1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1"/>
      <x:c r="R54" s="1"/>
    </x:row>
    <x:row r="55" ht="21" customHeight="1">
      <x:c r="A55" s="1"/>
      <x:c r="B55" s="1"/>
      <x:c r="C55" s="1"/>
      <x:c r="D55" s="1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1"/>
      <x:c r="R55" s="1"/>
    </x:row>
    <x:row r="56" ht="21" customHeight="1">
      <x:c r="A56" s="1"/>
      <x:c r="B56" s="1"/>
      <x:c r="C56" s="1"/>
      <x:c r="D56" s="1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1"/>
      <x:c r="R56" s="1"/>
    </x:row>
    <x:row r="57" ht="21" customHeight="1">
      <x:c r="A57" s="1"/>
      <x:c r="B57" s="1"/>
      <x:c r="C57" s="1"/>
      <x:c r="D57" s="1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1"/>
      <x:c r="R57" s="1"/>
    </x:row>
    <x:row r="58" ht="21" customHeight="1">
      <x:c r="A58" s="1"/>
      <x:c r="B58" s="1"/>
      <x:c r="C58" s="1"/>
      <x:c r="D58" s="1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1"/>
      <x:c r="R58" s="1"/>
    </x:row>
    <x:row r="59" ht="21" customHeight="1">
      <x:c r="A59" s="1"/>
      <x:c r="B59" s="1"/>
      <x:c r="C59" s="1"/>
      <x:c r="D59" s="1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1"/>
      <x:c r="R59" s="1"/>
    </x:row>
    <x:row r="60" ht="21" customHeight="1">
      <x:c r="A60" s="1"/>
      <x:c r="B60" s="1"/>
      <x:c r="C60" s="1"/>
      <x:c r="D60" s="1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1"/>
      <x:c r="R60" s="1"/>
    </x:row>
    <x:row r="61" ht="21" customHeight="1">
      <x:c r="A61" s="1"/>
      <x:c r="B61" s="1"/>
      <x:c r="C61" s="1"/>
      <x:c r="D61" s="1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1"/>
      <x:c r="R61" s="1"/>
    </x:row>
    <x:row r="62" ht="21" customHeight="1">
      <x:c r="A62" s="1"/>
      <x:c r="B62" s="1"/>
      <x:c r="C62" s="1"/>
      <x:c r="D62" s="1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1"/>
      <x:c r="R62" s="1"/>
    </x:row>
    <x:row r="63" ht="21" customHeight="1">
      <x:c r="A63" s="1"/>
      <x:c r="B63" s="1"/>
      <x:c r="C63" s="1"/>
      <x:c r="D63" s="1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1"/>
      <x:c r="R63" s="1"/>
    </x:row>
    <x:row r="64" ht="21" customHeight="1">
      <x:c r="A64" s="1"/>
      <x:c r="B64" s="1"/>
      <x:c r="C64" s="1"/>
      <x:c r="D64" s="1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1"/>
      <x:c r="R64" s="1"/>
    </x:row>
    <x:row r="65" ht="21" customHeight="1">
      <x:c r="A65" s="1"/>
      <x:c r="B65" s="1"/>
      <x:c r="C65" s="1"/>
      <x:c r="D65" s="1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1"/>
      <x:c r="R65" s="1"/>
    </x:row>
    <x:row r="66" ht="21" customHeight="1">
      <x:c r="A66" s="1"/>
      <x:c r="B66" s="1"/>
      <x:c r="C66" s="1"/>
      <x:c r="D66" s="1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1"/>
      <x:c r="R66" s="1"/>
    </x:row>
    <x:row r="67" ht="21" customHeight="1">
      <x:c r="A67" s="1"/>
      <x:c r="B67" s="1"/>
      <x:c r="C67" s="1"/>
      <x:c r="D67" s="1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1"/>
      <x:c r="R67" s="1"/>
    </x:row>
    <x:row r="68" ht="21" customHeight="1">
      <x:c r="A68" s="1"/>
      <x:c r="B68" s="1"/>
      <x:c r="C68" s="1"/>
      <x:c r="D68" s="1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1"/>
      <x:c r="R68" s="1"/>
    </x:row>
    <x:row r="69" ht="21" customHeight="1">
      <x:c r="A69" s="1"/>
      <x:c r="B69" s="1"/>
      <x:c r="C69" s="1"/>
      <x:c r="D69" s="1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1"/>
      <x:c r="R69" s="1"/>
    </x:row>
    <x:row r="70" ht="21" customHeight="1">
      <x:c r="A70" s="1"/>
      <x:c r="B70" s="1"/>
      <x:c r="C70" s="1"/>
      <x:c r="D70" s="1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1"/>
      <x:c r="R70" s="1"/>
    </x:row>
    <x:row r="71" ht="21" customHeight="1">
      <x:c r="A71" s="1"/>
      <x:c r="B71" s="1"/>
      <x:c r="C71" s="1"/>
      <x:c r="D71" s="1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1"/>
      <x:c r="R71" s="1"/>
    </x:row>
    <x:row r="72" ht="21" customHeight="1">
      <x:c r="A72" s="1"/>
      <x:c r="B72" s="1"/>
      <x:c r="C72" s="1"/>
      <x:c r="D72" s="1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1"/>
      <x:c r="R72" s="1"/>
    </x:row>
    <x:row r="73" ht="21" customHeight="1">
      <x:c r="A73" s="1"/>
      <x:c r="B73" s="1"/>
      <x:c r="C73" s="1"/>
      <x:c r="D73" s="1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1"/>
      <x:c r="R73" s="1"/>
    </x:row>
    <x:row r="74" ht="21" customHeight="1">
      <x:c r="A74" s="1"/>
      <x:c r="B74" s="1"/>
      <x:c r="C74" s="1"/>
      <x:c r="D74" s="1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1"/>
      <x:c r="R74" s="1"/>
    </x:row>
    <x:row r="75" ht="21" customHeight="1">
      <x:c r="A75" s="1"/>
      <x:c r="B75" s="1"/>
      <x:c r="C75" s="1"/>
      <x:c r="D75" s="1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1"/>
      <x:c r="R75" s="1"/>
    </x:row>
    <x:row r="76" ht="21" customHeight="1">
      <x:c r="A76" s="1"/>
      <x:c r="B76" s="1"/>
      <x:c r="C76" s="1"/>
      <x:c r="D76" s="1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1"/>
      <x:c r="R76" s="1"/>
    </x:row>
    <x:row r="77" ht="21" customHeight="1">
      <x:c r="A77" s="1"/>
      <x:c r="B77" s="1"/>
      <x:c r="C77" s="1"/>
      <x:c r="D77" s="1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1"/>
      <x:c r="R77" s="1"/>
    </x:row>
    <x:row r="78" ht="21" customHeight="1">
      <x:c r="A78" s="1"/>
      <x:c r="B78" s="1"/>
      <x:c r="C78" s="1"/>
      <x:c r="D78" s="1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1"/>
      <x:c r="R78" s="1"/>
    </x:row>
    <x:row r="79" ht="21" customHeight="1">
      <x:c r="A79" s="1"/>
      <x:c r="B79" s="1"/>
      <x:c r="C79" s="1"/>
      <x:c r="D79" s="1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1"/>
      <x:c r="R79" s="1"/>
    </x:row>
    <x:row r="80" ht="21" customHeight="1">
      <x:c r="A80" s="1"/>
      <x:c r="B80" s="1"/>
      <x:c r="C80" s="1"/>
      <x:c r="D80" s="1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1"/>
      <x:c r="R80" s="1"/>
    </x:row>
    <x:row r="81" ht="21" customHeight="1">
      <x:c r="A81" s="1"/>
      <x:c r="B81" s="1"/>
      <x:c r="C81" s="1"/>
      <x:c r="D81" s="1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1"/>
      <x:c r="R81" s="1"/>
    </x:row>
    <x:row r="82" ht="21" customHeight="1">
      <x:c r="A82" s="1"/>
      <x:c r="B82" s="1"/>
      <x:c r="C82" s="1"/>
      <x:c r="D82" s="1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1"/>
      <x:c r="R82" s="1"/>
    </x:row>
    <x:row r="83" ht="21" customHeight="1">
      <x:c r="A83" s="1"/>
      <x:c r="B83" s="1"/>
      <x:c r="C83" s="1"/>
      <x:c r="D83" s="1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1"/>
      <x:c r="R83" s="1"/>
    </x:row>
    <x:row r="84" ht="21" customHeight="1">
      <x:c r="A84" s="1"/>
      <x:c r="B84" s="1"/>
      <x:c r="C84" s="1"/>
      <x:c r="D84" s="1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1"/>
      <x:c r="R84" s="1"/>
    </x:row>
    <x:row r="85" ht="21" customHeight="1">
      <x:c r="A85" s="1"/>
      <x:c r="B85" s="1"/>
      <x:c r="C85" s="1"/>
      <x:c r="D85" s="1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1"/>
      <x:c r="R85" s="1"/>
    </x:row>
    <x:row r="86" ht="21" customHeight="1">
      <x:c r="A86" s="1"/>
      <x:c r="B86" s="1"/>
      <x:c r="C86" s="1"/>
      <x:c r="D86" s="1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1"/>
      <x:c r="R86" s="1"/>
    </x:row>
    <x:row r="87" ht="21" customHeight="1">
      <x:c r="A87" s="1"/>
      <x:c r="B87" s="1"/>
      <x:c r="C87" s="1"/>
      <x:c r="D87" s="1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1"/>
      <x:c r="R87" s="1"/>
    </x:row>
    <x:row r="88" ht="21" customHeight="1">
      <x:c r="A88" s="1"/>
      <x:c r="B88" s="1"/>
      <x:c r="C88" s="1"/>
      <x:c r="D88" s="1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1"/>
      <x:c r="R88" s="1"/>
    </x:row>
    <x:row r="89" ht="21" customHeight="1">
      <x:c r="A89" s="1"/>
      <x:c r="B89" s="1"/>
      <x:c r="C89" s="1"/>
      <x:c r="D89" s="1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1"/>
      <x:c r="R89" s="1"/>
    </x:row>
    <x:row r="90" ht="21" customHeight="1">
      <x:c r="A90" s="1"/>
      <x:c r="B90" s="1"/>
      <x:c r="C90" s="1"/>
      <x:c r="D90" s="1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1"/>
      <x:c r="R90" s="1"/>
    </x:row>
    <x:row r="91" ht="21" customHeight="1">
      <x:c r="A91" s="1"/>
      <x:c r="B91" s="1"/>
      <x:c r="C91" s="1"/>
      <x:c r="D91" s="1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1"/>
      <x:c r="R91" s="1"/>
    </x:row>
    <x:row r="92" ht="21" customHeight="1">
      <x:c r="A92" s="1"/>
      <x:c r="B92" s="1"/>
      <x:c r="C92" s="1"/>
      <x:c r="D92" s="1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1"/>
      <x:c r="R92" s="1"/>
    </x:row>
    <x:row r="93" ht="21" customHeight="1">
      <x:c r="A93" s="1"/>
      <x:c r="B93" s="1"/>
      <x:c r="C93" s="1"/>
      <x:c r="D93" s="1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1"/>
      <x:c r="R93" s="1"/>
    </x:row>
    <x:row r="94" ht="21" customHeight="1">
      <x:c r="A94" s="1"/>
      <x:c r="B94" s="1"/>
      <x:c r="C94" s="1"/>
      <x:c r="D94" s="1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1"/>
      <x:c r="R94" s="1"/>
    </x:row>
    <x:row r="95" ht="21" customHeight="1">
      <x:c r="A95" s="1"/>
      <x:c r="B95" s="1"/>
      <x:c r="C95" s="1"/>
      <x:c r="D95" s="1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1"/>
      <x:c r="R95" s="1"/>
    </x:row>
    <x:row r="96" ht="21" customHeight="1">
      <x:c r="A96" s="1"/>
      <x:c r="B96" s="1"/>
      <x:c r="C96" s="1"/>
      <x:c r="D96" s="1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1"/>
      <x:c r="R96" s="1"/>
    </x:row>
    <x:row r="97" ht="21" customHeight="1">
      <x:c r="A97" s="1"/>
      <x:c r="B97" s="1"/>
      <x:c r="C97" s="1"/>
      <x:c r="D97" s="1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1"/>
      <x:c r="R97" s="1"/>
    </x:row>
    <x:row r="98" ht="21" customHeight="1">
      <x:c r="A98" s="1"/>
      <x:c r="B98" s="1"/>
      <x:c r="C98" s="1"/>
      <x:c r="D98" s="1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1"/>
      <x:c r="R98" s="1"/>
    </x:row>
    <x:row r="99" ht="21" customHeight="1">
      <x:c r="A99" s="1"/>
      <x:c r="B99" s="1"/>
      <x:c r="C99" s="1"/>
      <x:c r="D99" s="1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1"/>
      <x:c r="R99" s="1"/>
    </x:row>
    <x:row r="100" ht="21" customHeight="1">
      <x:c r="A100" s="1"/>
      <x:c r="B100" s="1"/>
      <x:c r="C100" s="1"/>
      <x:c r="D100" s="1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1"/>
      <x:c r="R100" s="1"/>
    </x:row>
    <x:row r="101" ht="21" customHeight="1">
      <x:c r="A101" s="1"/>
      <x:c r="B101" s="1"/>
      <x:c r="C101" s="1"/>
      <x:c r="D101" s="1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1"/>
      <x:c r="R101" s="1"/>
    </x:row>
    <x:row r="102" ht="21" customHeight="1">
      <x:c r="A102" s="1"/>
      <x:c r="B102" s="1"/>
      <x:c r="C102" s="1"/>
      <x:c r="D102" s="1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1"/>
      <x:c r="R102" s="1"/>
    </x:row>
    <x:row r="103" ht="21" customHeight="1">
      <x:c r="A103" s="1"/>
      <x:c r="B103" s="1"/>
      <x:c r="C103" s="1"/>
      <x:c r="D103" s="1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1"/>
      <x:c r="R103" s="1"/>
    </x:row>
    <x:row r="104" ht="21" customHeight="1">
      <x:c r="A104" s="1"/>
      <x:c r="B104" s="1"/>
      <x:c r="C104" s="1"/>
      <x:c r="D104" s="1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1"/>
      <x:c r="R104" s="1"/>
    </x:row>
    <x:row r="105" ht="21" customHeight="1">
      <x:c r="A105" s="1"/>
      <x:c r="B105" s="1"/>
      <x:c r="C105" s="1"/>
      <x:c r="D105" s="1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1"/>
      <x:c r="R105" s="1"/>
    </x:row>
    <x:row r="106" ht="21" customHeight="1">
      <x:c r="A106" s="1"/>
      <x:c r="B106" s="1"/>
      <x:c r="C106" s="1"/>
      <x:c r="D106" s="1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1"/>
      <x:c r="R106" s="1"/>
    </x:row>
    <x:row r="107" ht="21" customHeight="1">
      <x:c r="A107" s="1"/>
      <x:c r="B107" s="1"/>
      <x:c r="C107" s="1"/>
      <x:c r="D107" s="1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1"/>
      <x:c r="R107" s="1"/>
    </x:row>
    <x:row r="108" ht="21" customHeight="1">
      <x:c r="A108" s="1"/>
      <x:c r="B108" s="1"/>
      <x:c r="C108" s="1"/>
      <x:c r="D108" s="1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1"/>
      <x:c r="R108" s="1"/>
    </x:row>
    <x:row r="109" ht="21" customHeight="1">
      <x:c r="A109" s="1"/>
      <x:c r="B109" s="1"/>
      <x:c r="C109" s="1"/>
      <x:c r="D109" s="1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1"/>
      <x:c r="R109" s="1"/>
    </x:row>
    <x:row r="110" ht="21" customHeight="1">
      <x:c r="A110" s="1"/>
      <x:c r="B110" s="1"/>
      <x:c r="C110" s="1"/>
      <x:c r="D110" s="1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1"/>
      <x:c r="R110" s="1"/>
    </x:row>
    <x:row r="111" ht="21" customHeight="1">
      <x:c r="A111" s="1"/>
      <x:c r="B111" s="1"/>
      <x:c r="C111" s="1"/>
      <x:c r="D111" s="1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1"/>
      <x:c r="R111" s="1"/>
    </x:row>
    <x:row r="112" ht="21" customHeight="1">
      <x:c r="A112" s="1"/>
      <x:c r="B112" s="1"/>
      <x:c r="C112" s="1"/>
      <x:c r="D112" s="1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1"/>
      <x:c r="R112" s="1"/>
    </x:row>
    <x:row r="113" ht="21" customHeight="1">
      <x:c r="A113" s="1"/>
      <x:c r="B113" s="1"/>
      <x:c r="C113" s="1"/>
      <x:c r="D113" s="1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1"/>
      <x:c r="R113" s="1"/>
    </x:row>
    <x:row r="114" ht="21" customHeight="1">
      <x:c r="A114" s="1"/>
      <x:c r="B114" s="1"/>
      <x:c r="C114" s="1"/>
      <x:c r="D114" s="1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1"/>
      <x:c r="R114" s="1"/>
    </x:row>
    <x:row r="115" ht="21" customHeight="1">
      <x:c r="A115" s="1"/>
      <x:c r="B115" s="1"/>
      <x:c r="C115" s="1"/>
      <x:c r="D115" s="1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1"/>
      <x:c r="R115" s="1"/>
    </x:row>
    <x:row r="116" ht="21" customHeight="1">
      <x:c r="A116" s="1"/>
      <x:c r="B116" s="1"/>
      <x:c r="C116" s="1"/>
      <x:c r="D116" s="1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1"/>
      <x:c r="R116" s="1"/>
    </x:row>
    <x:row r="117" ht="21" customHeight="1">
      <x:c r="A117" s="1"/>
      <x:c r="B117" s="1"/>
      <x:c r="C117" s="1"/>
      <x:c r="D117" s="1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1"/>
      <x:c r="R117" s="1"/>
    </x:row>
    <x:row r="118" ht="21" customHeight="1">
      <x:c r="A118" s="1"/>
      <x:c r="B118" s="1"/>
      <x:c r="C118" s="1"/>
      <x:c r="D118" s="1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1"/>
      <x:c r="R118" s="1"/>
    </x:row>
    <x:row r="119" ht="21" customHeight="1">
      <x:c r="A119" s="1"/>
      <x:c r="B119" s="1"/>
      <x:c r="C119" s="1"/>
      <x:c r="D119" s="1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1"/>
      <x:c r="R119" s="1"/>
    </x:row>
    <x:row r="120" ht="21" customHeight="1">
      <x:c r="A120" s="1"/>
      <x:c r="B120" s="1"/>
      <x:c r="C120" s="1"/>
      <x:c r="D120" s="1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1"/>
      <x:c r="R120" s="1"/>
    </x:row>
    <x:row r="121" ht="21" customHeight="1">
      <x:c r="A121" s="1"/>
      <x:c r="B121" s="1"/>
      <x:c r="C121" s="1"/>
      <x:c r="D121" s="1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1"/>
      <x:c r="R121" s="1"/>
    </x:row>
    <x:row r="122" ht="21" customHeight="1">
      <x:c r="A122" s="1"/>
      <x:c r="B122" s="1"/>
      <x:c r="C122" s="1"/>
      <x:c r="D122" s="1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1"/>
      <x:c r="R122" s="1"/>
    </x:row>
    <x:row r="123" ht="21" customHeight="1">
      <x:c r="A123" s="1"/>
      <x:c r="B123" s="1"/>
      <x:c r="C123" s="1"/>
      <x:c r="D123" s="1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1"/>
      <x:c r="R123" s="1"/>
    </x:row>
    <x:row r="124" ht="21" customHeight="1">
      <x:c r="A124" s="1"/>
      <x:c r="B124" s="1"/>
      <x:c r="C124" s="1"/>
      <x:c r="D124" s="1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1"/>
      <x:c r="R124" s="1"/>
    </x:row>
    <x:row r="125" ht="21" customHeight="1">
      <x:c r="A125" s="1"/>
      <x:c r="B125" s="1"/>
      <x:c r="C125" s="1"/>
      <x:c r="D125" s="1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1"/>
      <x:c r="R125" s="1"/>
    </x:row>
    <x:row r="126" ht="21" customHeight="1">
      <x:c r="A126" s="1"/>
      <x:c r="B126" s="1"/>
      <x:c r="C126" s="1"/>
      <x:c r="D126" s="1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1"/>
      <x:c r="R126" s="1"/>
    </x:row>
    <x:row r="127" ht="21" customHeight="1">
      <x:c r="A127" s="1"/>
      <x:c r="B127" s="1"/>
      <x:c r="C127" s="1"/>
      <x:c r="D127" s="1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1"/>
      <x:c r="R127" s="1"/>
    </x:row>
    <x:row r="128" ht="21" customHeight="1">
      <x:c r="A128" s="1"/>
      <x:c r="B128" s="1"/>
      <x:c r="C128" s="1"/>
      <x:c r="D128" s="1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1"/>
      <x:c r="R128" s="1"/>
    </x:row>
    <x:row r="129" ht="21" customHeight="1">
      <x:c r="A129" s="1"/>
      <x:c r="B129" s="1"/>
      <x:c r="C129" s="1"/>
      <x:c r="D129" s="1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1"/>
      <x:c r="R129" s="1"/>
    </x:row>
    <x:row r="130" ht="21" customHeight="1">
      <x:c r="A130" s="1"/>
      <x:c r="B130" s="1"/>
      <x:c r="C130" s="1"/>
      <x:c r="D130" s="1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1"/>
      <x:c r="R130" s="1"/>
    </x:row>
    <x:row r="131" ht="21" customHeight="1">
      <x:c r="A131" s="1"/>
      <x:c r="B131" s="1"/>
      <x:c r="C131" s="1"/>
      <x:c r="D131" s="1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1"/>
      <x:c r="R131" s="1"/>
    </x:row>
    <x:row r="132" ht="21" customHeight="1">
      <x:c r="A132" s="1"/>
      <x:c r="B132" s="1"/>
      <x:c r="C132" s="1"/>
      <x:c r="D132" s="1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1"/>
      <x:c r="R132" s="1"/>
    </x:row>
    <x:row r="133" ht="21" customHeight="1">
      <x:c r="A133" s="1"/>
      <x:c r="B133" s="1"/>
      <x:c r="C133" s="1"/>
      <x:c r="D133" s="1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1"/>
      <x:c r="R133" s="1"/>
    </x:row>
    <x:row r="134" ht="21" customHeight="1">
      <x:c r="A134" s="1"/>
      <x:c r="B134" s="1"/>
      <x:c r="C134" s="1"/>
      <x:c r="D134" s="1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1"/>
      <x:c r="R134" s="1"/>
    </x:row>
    <x:row r="135" ht="21" customHeight="1">
      <x:c r="A135" s="1"/>
      <x:c r="B135" s="1"/>
      <x:c r="C135" s="1"/>
      <x:c r="D135" s="1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1"/>
      <x:c r="R135" s="1"/>
    </x:row>
    <x:row r="136" ht="21" customHeight="1">
      <x:c r="A136" s="1"/>
      <x:c r="B136" s="1"/>
      <x:c r="C136" s="1"/>
      <x:c r="D136" s="1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1"/>
      <x:c r="R136" s="1"/>
    </x:row>
    <x:row r="137" ht="21" customHeight="1">
      <x:c r="A137" s="1"/>
      <x:c r="B137" s="1"/>
      <x:c r="C137" s="1"/>
      <x:c r="D137" s="1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1"/>
      <x:c r="R137" s="1"/>
    </x:row>
    <x:row r="138" ht="21" customHeight="1">
      <x:c r="A138" s="1"/>
      <x:c r="B138" s="1"/>
      <x:c r="C138" s="1"/>
      <x:c r="D138" s="1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1"/>
      <x:c r="R138" s="1"/>
    </x:row>
    <x:row r="139" ht="21" customHeight="1">
      <x:c r="A139" s="1"/>
      <x:c r="B139" s="1"/>
      <x:c r="C139" s="1"/>
      <x:c r="D139" s="1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1"/>
      <x:c r="R139" s="1"/>
    </x:row>
    <x:row r="140" ht="21" customHeight="1">
      <x:c r="A140" s="1"/>
      <x:c r="B140" s="1"/>
      <x:c r="C140" s="1"/>
      <x:c r="D140" s="1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1"/>
      <x:c r="R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1" hidden="0" customWidth="1"/>
    <x:col min="4" max="4" width="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1" customHeight="1">
      <x:c r="A2" s="1"/>
      <x:c r="B2" s="1"/>
      <x:c r="C2" s="3" t="str">
        <x:v>Lumentum | DCF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1"/>
      <x:c r="R2" s="1"/>
    </x:row>
    <x:row r="3" ht="21" customHeight="1">
      <x:c r="A3" s="1"/>
      <x:c r="B3" s="1"/>
      <x:c r="C3" s="1" t="str">
        <x:v>USD millions, except EPS and share prices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1" customHeight="1">
      <x:c r="A4" s="1"/>
      <x:c r="B4" s="1"/>
      <x:c r="C4" s="1" t="str">
        <x:v>Case selected</x:v>
      </x:c>
      <x:c r="D4" s="1"/>
      <x:c r="E4" s="40" t="str">
        <x:f>'Assumptions'!F4</x:f>
        <x:v>Base</x:v>
      </x:c>
      <x:c r="F4" s="4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23" customHeight="1">
      <x:c r="A6" s="1"/>
      <x:c r="B6" s="1"/>
      <x:c r="C6" s="8" t="str">
        <x:v>Annual operating forecast and economic free cash flow</x:v>
      </x:c>
      <x:c r="D6" s="8"/>
      <x:c r="E6" s="9"/>
      <x:c r="F6" s="9"/>
      <x:c r="G6" s="9"/>
      <x:c r="H6" s="9"/>
      <x:c r="I6" s="9"/>
      <x:c r="J6" s="9"/>
      <x:c r="K6" s="9"/>
      <x:c r="L6" s="2"/>
      <x:c r="M6" s="2"/>
      <x:c r="N6" s="2"/>
      <x:c r="O6" s="2"/>
      <x:c r="P6" s="2"/>
      <x:c r="Q6" s="1"/>
      <x:c r="R6" s="1"/>
    </x:row>
    <x:row r="7" ht="21" customHeight="1">
      <x:c r="A7" s="1"/>
      <x:c r="B7" s="1"/>
      <x:c r="C7" s="1"/>
      <x:c r="D7" s="1"/>
      <x:c r="E7" s="2" t="str">
        <x:v>FY:27</x:v>
      </x:c>
      <x:c r="F7" s="2" t="str">
        <x:v>FY:28</x:v>
      </x:c>
      <x:c r="G7" s="2" t="str">
        <x:v>FY:29</x:v>
      </x:c>
      <x:c r="H7" s="2" t="str">
        <x:v>FY:30</x:v>
      </x:c>
      <x:c r="I7" s="2" t="str">
        <x:v>FY:31</x:v>
      </x:c>
      <x:c r="J7" s="2" t="str">
        <x:v>FY:32</x:v>
      </x:c>
      <x:c r="K7" s="2" t="str">
        <x:v>FY:33</x:v>
      </x:c>
      <x:c r="L7" s="2"/>
      <x:c r="M7" s="2"/>
      <x:c r="N7" s="2"/>
      <x:c r="O7" s="2"/>
      <x:c r="P7" s="2"/>
      <x:c r="Q7" s="1"/>
      <x:c r="R7" s="1"/>
    </x:row>
    <x:row r="8" ht="21" customHeight="1">
      <x:c r="A8" s="1"/>
      <x:c r="B8" s="1"/>
      <x:c r="C8" s="1" t="str">
        <x:v>Components</x:v>
      </x:c>
      <x:c r="D8" s="1"/>
      <x:c r="E8" s="21" t="n">
        <x:f>'Quarterly'!I10</x:f>
        <x:v>3809.7617198871994</x:v>
      </x:c>
      <x:c r="F8" s="21" t="n">
        <x:f>E8*(1+'Assumptions'!K38)</x:f>
        <x:v>5524.154493836439</x:v>
      </x:c>
      <x:c r="G8" s="21" t="n">
        <x:f>F8*(1+'Assumptions'!L38)</x:f>
        <x:v>7181.400841987371</x:v>
      </x:c>
      <x:c r="H8" s="21" t="n">
        <x:f>G8*(1+'Assumptions'!M38)</x:f>
        <x:v>8617.681010384844</x:v>
      </x:c>
      <x:c r="I8" s="21" t="n">
        <x:f>H8*(1+'Assumptions'!N38)</x:f>
        <x:v>9910.33316194257</x:v>
      </x:c>
      <x:c r="J8" s="21" t="n">
        <x:f>I8*(1+'Assumptions'!O38)</x:f>
        <x:v>10901.366478136828</x:v>
      </x:c>
      <x:c r="K8" s="21" t="n">
        <x:f>J8*(1+'Assumptions'!P38)</x:f>
        <x:v>11773.475796387775</x:v>
      </x:c>
      <x:c r="L8" s="2"/>
      <x:c r="M8" s="2"/>
      <x:c r="N8" s="2"/>
      <x:c r="O8" s="2"/>
      <x:c r="P8" s="2"/>
      <x:c r="Q8" s="1"/>
      <x:c r="R8" s="1"/>
    </x:row>
    <x:row r="9" ht="21" customHeight="1">
      <x:c r="A9" s="1"/>
      <x:c r="B9" s="1"/>
      <x:c r="C9" s="1" t="str">
        <x:v>Systems</x:v>
      </x:c>
      <x:c r="D9" s="1"/>
      <x:c r="E9" s="21" t="n">
        <x:f>'Quarterly'!I13</x:f>
        <x:v>2290.9202136238287</x:v>
      </x:c>
      <x:c r="F9" s="21" t="n">
        <x:f>E9*(1+'Assumptions'!K43)</x:f>
        <x:v>3436.3803204357428</x:v>
      </x:c>
      <x:c r="G9" s="21" t="n">
        <x:f>F9*(1+'Assumptions'!L43)</x:f>
        <x:v>4639.113432588253</x:v>
      </x:c>
      <x:c r="H9" s="21" t="n">
        <x:f>G9*(1+'Assumptions'!M43)</x:f>
        <x:v>5798.891790735316</x:v>
      </x:c>
      <x:c r="I9" s="21" t="n">
        <x:f>H9*(1+'Assumptions'!N43)</x:f>
        <x:v>6842.692313067672</x:v>
      </x:c>
      <x:c r="J9" s="21" t="n">
        <x:f>I9*(1+'Assumptions'!O43)</x:f>
        <x:v>7663.815390635794</x:v>
      </x:c>
      <x:c r="K9" s="21" t="n">
        <x:f>J9*(1+'Assumptions'!P43)</x:f>
        <x:v>8276.920621886658</x:v>
      </x:c>
      <x:c r="L9" s="2"/>
      <x:c r="M9" s="2"/>
      <x:c r="N9" s="2"/>
      <x:c r="O9" s="2"/>
      <x:c r="P9" s="2"/>
      <x:c r="Q9" s="1"/>
      <x:c r="R9" s="1"/>
    </x:row>
    <x:row r="10" ht="21" customHeight="1">
      <x:c r="A10" s="1"/>
      <x:c r="B10" s="1"/>
      <x:c r="C10" s="36" t="str">
        <x:v>Revenue</x:v>
      </x:c>
      <x:c r="D10" s="36"/>
      <x:c r="E10" s="37" t="n">
        <x:f>SUM(E8:E9)</x:f>
        <x:v>6100.681933511029</x:v>
      </x:c>
      <x:c r="F10" s="37" t="n">
        <x:f>SUM(F8:F9)</x:f>
        <x:v>8960.534814272181</x:v>
      </x:c>
      <x:c r="G10" s="37" t="n">
        <x:f>SUM(G8:G9)</x:f>
        <x:v>11820.514274575624</x:v>
      </x:c>
      <x:c r="H10" s="37" t="n">
        <x:f>SUM(H8:H9)</x:f>
        <x:v>14416.57280112016</x:v>
      </x:c>
      <x:c r="I10" s="37" t="n">
        <x:f>SUM(I8:I9)</x:f>
        <x:v>16753.025475010243</x:v>
      </x:c>
      <x:c r="J10" s="37" t="n">
        <x:f>SUM(J8:J9)</x:f>
        <x:v>18565.181868772623</x:v>
      </x:c>
      <x:c r="K10" s="37" t="n">
        <x:f>SUM(K8:K9)</x:f>
        <x:v>20050.39641827443</x:v>
      </x:c>
      <x:c r="L10" s="2"/>
      <x:c r="M10" s="2"/>
      <x:c r="N10" s="2"/>
      <x:c r="O10" s="2"/>
      <x:c r="P10" s="2"/>
      <x:c r="Q10" s="1"/>
      <x:c r="R10" s="1"/>
    </x:row>
    <x:row r="11" ht="21" customHeight="1">
      <x:c r="A11" s="1"/>
      <x:c r="B11" s="1"/>
      <x:c r="C11" s="28" t="str">
        <x:v>Revenue growth</x:v>
      </x:c>
      <x:c r="D11" s="28"/>
      <x:c r="E11" s="29" t="n">
        <x:f>E10/'Actuals'!F8-1</x:f>
        <x:v>1.0241147755511042</x:v>
      </x:c>
      <x:c r="F11" s="31" t="n">
        <x:f>F10/E10-1</x:f>
        <x:v>0.4687759355314016</x:v>
      </x:c>
      <x:c r="G11" s="31" t="n">
        <x:f>G10/F10-1</x:f>
        <x:v>0.3191750849232926</x:v>
      </x:c>
      <x:c r="H11" s="31" t="n">
        <x:f>H10/G10-1</x:f>
        <x:v>0.21962314551138595</x:v>
      </x:c>
      <x:c r="I11" s="31" t="n">
        <x:f>I10/H10-1</x:f>
        <x:v>0.16206713662962535</x:v>
      </x:c>
      <x:c r="J11" s="31" t="n">
        <x:f>J10/I10-1</x:f>
        <x:v>0.10816890337005058</x:v>
      </x:c>
      <x:c r="K11" s="31" t="n">
        <x:f>K10/J10-1</x:f>
        <x:v>0.07999999999999985</x:v>
      </x:c>
      <x:c r="L11" s="2"/>
      <x:c r="M11" s="2"/>
      <x:c r="N11" s="2"/>
      <x:c r="O11" s="2"/>
      <x:c r="P11" s="2"/>
      <x:c r="Q11" s="1"/>
      <x:c r="R11" s="1"/>
    </x:row>
    <x:row r="12" ht="21" customHeight="1">
      <x:c r="A12" s="1"/>
      <x:c r="B12" s="1"/>
      <x:c r="C12" s="28" t="str">
        <x:v>Adjusted gross margin</x:v>
      </x:c>
      <x:c r="D12" s="28"/>
      <x:c r="E12" s="29" t="n">
        <x:f>'Quarterly'!I17</x:f>
        <x:v>0.5440325438765435</x:v>
      </x:c>
      <x:c r="F12" s="29" t="n">
        <x:f>'Assumptions'!K48</x:f>
        <x:v>0.56</x:v>
      </x:c>
      <x:c r="G12" s="29" t="n">
        <x:f>'Assumptions'!L48</x:f>
        <x:v>0.56</x:v>
      </x:c>
      <x:c r="H12" s="29" t="n">
        <x:f>'Assumptions'!M48</x:f>
        <x:v>0.55</x:v>
      </x:c>
      <x:c r="I12" s="29" t="n">
        <x:f>'Assumptions'!N48</x:f>
        <x:v>0.54</x:v>
      </x:c>
      <x:c r="J12" s="29" t="n">
        <x:f>'Assumptions'!O48</x:f>
        <x:v>0.53</x:v>
      </x:c>
      <x:c r="K12" s="29" t="n">
        <x:f>'Assumptions'!P48</x:f>
        <x:v>0.52</x:v>
      </x:c>
      <x:c r="L12" s="2"/>
      <x:c r="M12" s="2"/>
      <x:c r="N12" s="2"/>
      <x:c r="O12" s="2"/>
      <x:c r="P12" s="2"/>
      <x:c r="Q12" s="1"/>
      <x:c r="R12" s="1"/>
    </x:row>
    <x:row r="13" ht="21" customHeight="1">
      <x:c r="A13" s="1"/>
      <x:c r="B13" s="1"/>
      <x:c r="C13" s="1" t="str">
        <x:v>Adjusted cost of sales</x:v>
      </x:c>
      <x:c r="D13" s="1"/>
      <x:c r="E13" s="13" t="n">
        <x:f>E10*(1-E12)</x:f>
        <x:v>2781.7124218413533</x:v>
      </x:c>
      <x:c r="F13" s="13" t="n">
        <x:f>F10*(1-F12)</x:f>
        <x:v>3942.6353182797593</x:v>
      </x:c>
      <x:c r="G13" s="13" t="n">
        <x:f>G10*(1-G12)</x:f>
        <x:v>5201.026280813274</x:v>
      </x:c>
      <x:c r="H13" s="13" t="n">
        <x:f>H10*(1-H12)</x:f>
        <x:v>6487.457760504071</x:v>
      </x:c>
      <x:c r="I13" s="13" t="n">
        <x:f>I10*(1-I12)</x:f>
        <x:v>7706.391718504711</x:v>
      </x:c>
      <x:c r="J13" s="13" t="n">
        <x:f>J10*(1-J12)</x:f>
        <x:v>8725.635478323133</x:v>
      </x:c>
      <x:c r="K13" s="13" t="n">
        <x:f>K10*(1-K12)</x:f>
        <x:v>9624.190280771727</x:v>
      </x:c>
      <x:c r="L13" s="2"/>
      <x:c r="M13" s="2"/>
      <x:c r="N13" s="2"/>
      <x:c r="O13" s="2"/>
      <x:c r="P13" s="2"/>
      <x:c r="Q13" s="1"/>
      <x:c r="R13" s="1"/>
    </x:row>
    <x:row r="14" ht="21" customHeight="1">
      <x:c r="A14" s="1"/>
      <x:c r="B14" s="1"/>
      <x:c r="C14" s="1" t="str">
        <x:v>Adjusted gross profit</x:v>
      </x:c>
      <x:c r="D14" s="1"/>
      <x:c r="E14" s="13" t="n">
        <x:f>E10-E13</x:f>
        <x:v>3318.9695116696753</x:v>
      </x:c>
      <x:c r="F14" s="13" t="n">
        <x:f>F10-F13</x:f>
        <x:v>5017.899495992422</x:v>
      </x:c>
      <x:c r="G14" s="13" t="n">
        <x:f>G10-G13</x:f>
        <x:v>6619.48799376235</x:v>
      </x:c>
      <x:c r="H14" s="13" t="n">
        <x:f>H10-H13</x:f>
        <x:v>7929.11504061609</x:v>
      </x:c>
      <x:c r="I14" s="13" t="n">
        <x:f>I10-I13</x:f>
        <x:v>9046.633756505533</x:v>
      </x:c>
      <x:c r="J14" s="13" t="n">
        <x:f>J10-J13</x:f>
        <x:v>9839.54639044949</x:v>
      </x:c>
      <x:c r="K14" s="13" t="n">
        <x:f>K10-K13</x:f>
        <x:v>10426.206137502704</x:v>
      </x:c>
      <x:c r="L14" s="2"/>
      <x:c r="M14" s="2"/>
      <x:c r="N14" s="2"/>
      <x:c r="O14" s="2"/>
      <x:c r="P14" s="2"/>
      <x:c r="Q14" s="1"/>
      <x:c r="R14" s="1"/>
    </x:row>
    <x:row r="15" ht="21" customHeight="1">
      <x:c r="A15" s="1"/>
      <x:c r="B15" s="1"/>
      <x:c r="C15" s="1" t="str">
        <x:v>Fixed adjusted opex</x:v>
      </x:c>
      <x:c r="D15" s="1"/>
      <x:c r="E15" s="21" t="n">
        <x:f>'Quarterly'!I20</x:f>
        <x:v>333</x:v>
      </x:c>
      <x:c r="F15" s="21" t="n">
        <x:f>E15*(1+'Assumptions'!K53)</x:f>
        <x:v>372.96000000000004</x:v>
      </x:c>
      <x:c r="G15" s="21" t="n">
        <x:f>F15*(1+'Assumptions'!L53)</x:f>
        <x:v>417.7152000000001</x:v>
      </x:c>
      <x:c r="H15" s="21" t="n">
        <x:f>G15*(1+'Assumptions'!M53)</x:f>
        <x:v>459.48672000000016</x:v>
      </x:c>
      <x:c r="I15" s="21" t="n">
        <x:f>H15*(1+'Assumptions'!N53)</x:f>
        <x:v>496.2456576000002</x:v>
      </x:c>
      <x:c r="J15" s="21" t="n">
        <x:f>I15*(1+'Assumptions'!O53)</x:f>
        <x:v>526.0203970560002</x:v>
      </x:c>
      <x:c r="K15" s="21" t="n">
        <x:f>J15*(1+'Assumptions'!P53)</x:f>
        <x:v>552.3214169088002</x:v>
      </x:c>
      <x:c r="L15" s="2"/>
      <x:c r="M15" s="2"/>
      <x:c r="N15" s="2"/>
      <x:c r="O15" s="2"/>
      <x:c r="P15" s="2"/>
      <x:c r="Q15" s="1"/>
      <x:c r="R15" s="1"/>
    </x:row>
    <x:row r="16" ht="21" customHeight="1">
      <x:c r="A16" s="1"/>
      <x:c r="B16" s="1"/>
      <x:c r="C16" s="1" t="str">
        <x:v>Variable adjusted opex</x:v>
      </x:c>
      <x:c r="D16" s="1"/>
      <x:c r="E16" s="21" t="n">
        <x:f>E10*'Assumptions'!$E$82</x:f>
        <x:v>366.0409160106617</x:v>
      </x:c>
      <x:c r="F16" s="21" t="n">
        <x:f>F10*'Assumptions'!$E$82</x:f>
        <x:v>537.6320888563308</x:v>
      </x:c>
      <x:c r="G16" s="21" t="n">
        <x:f>G10*'Assumptions'!$E$82</x:f>
        <x:v>709.2308564745374</x:v>
      </x:c>
      <x:c r="H16" s="21" t="n">
        <x:f>H10*'Assumptions'!$E$82</x:f>
        <x:v>864.9943680672096</x:v>
      </x:c>
      <x:c r="I16" s="21" t="n">
        <x:f>I10*'Assumptions'!$E$82</x:f>
        <x:v>1005.1815285006146</x:v>
      </x:c>
      <x:c r="J16" s="21" t="n">
        <x:f>J10*'Assumptions'!$E$82</x:f>
        <x:v>1113.9109121263573</x:v>
      </x:c>
      <x:c r="K16" s="21" t="n">
        <x:f>K10*'Assumptions'!$E$82</x:f>
        <x:v>1203.0237850964659</x:v>
      </x:c>
      <x:c r="L16" s="2"/>
      <x:c r="M16" s="2"/>
      <x:c r="N16" s="2"/>
      <x:c r="O16" s="2"/>
      <x:c r="P16" s="2"/>
      <x:c r="Q16" s="1"/>
      <x:c r="R16" s="1"/>
    </x:row>
    <x:row r="17" ht="21" customHeight="1">
      <x:c r="A17" s="1"/>
      <x:c r="B17" s="1"/>
      <x:c r="C17" s="36" t="str">
        <x:v>Adjusted operating profit</x:v>
      </x:c>
      <x:c r="D17" s="36"/>
      <x:c r="E17" s="37" t="n">
        <x:f>E14-SUM(E15:E16)</x:f>
        <x:v>2619.928595659014</x:v>
      </x:c>
      <x:c r="F17" s="37" t="n">
        <x:f>F14-SUM(F15:F16)</x:f>
        <x:v>4107.307407136092</x:v>
      </x:c>
      <x:c r="G17" s="37" t="n">
        <x:f>G14-SUM(G15:G16)</x:f>
        <x:v>5492.541937287812</x:v>
      </x:c>
      <x:c r="H17" s="37" t="n">
        <x:f>H14-SUM(H15:H16)</x:f>
        <x:v>6604.63395254888</x:v>
      </x:c>
      <x:c r="I17" s="37" t="n">
        <x:f>I14-SUM(I15:I16)</x:f>
        <x:v>7545.206570404918</x:v>
      </x:c>
      <x:c r="J17" s="37" t="n">
        <x:f>J14-SUM(J15:J16)</x:f>
        <x:v>8199.615081267133</x:v>
      </x:c>
      <x:c r="K17" s="37" t="n">
        <x:f>K14-SUM(K15:K16)</x:f>
        <x:v>8670.860935497438</x:v>
      </x:c>
      <x:c r="L17" s="2"/>
      <x:c r="M17" s="2"/>
      <x:c r="N17" s="2"/>
      <x:c r="O17" s="2"/>
      <x:c r="P17" s="2"/>
      <x:c r="Q17" s="1"/>
      <x:c r="R17" s="1"/>
    </x:row>
    <x:row r="18" ht="21" customHeight="1">
      <x:c r="A18" s="1"/>
      <x:c r="B18" s="1"/>
      <x:c r="C18" s="28" t="str">
        <x:v>Adjusted operating margin</x:v>
      </x:c>
      <x:c r="D18" s="28"/>
      <x:c r="E18" s="31" t="n">
        <x:f>E17/E10</x:f>
        <x:v>0.4294484820242395</x:v>
      </x:c>
      <x:c r="F18" s="31" t="n">
        <x:f>F17/F10</x:f>
        <x:v>0.45837748441019893</x:v>
      </x:c>
      <x:c r="G18" s="31" t="n">
        <x:f>G17/G10</x:f>
        <x:v>0.4646618420910459</x:v>
      </x:c>
      <x:c r="H18" s="31" t="n">
        <x:f>H17/H10</x:f>
        <x:v>0.4581278812697913</x:v>
      </x:c>
      <x:c r="I18" s="31" t="n">
        <x:f>I17/I10</x:f>
        <x:v>0.45037874392656857</x:v>
      </x:c>
      <x:c r="J18" s="31" t="n">
        <x:f>J17/J10</x:f>
        <x:v>0.44166629442285255</x:v>
      </x:c>
      <x:c r="K18" s="31" t="n">
        <x:f>K17/K10</x:f>
        <x:v>0.4324533417999955</x:v>
      </x:c>
      <x:c r="L18" s="2"/>
      <x:c r="M18" s="2"/>
      <x:c r="N18" s="2"/>
      <x:c r="O18" s="2"/>
      <x:c r="P18" s="2"/>
      <x:c r="Q18" s="1"/>
      <x:c r="R18" s="1"/>
    </x:row>
    <x:row r="19" ht="21" customHeight="1">
      <x:c r="A19" s="1"/>
      <x:c r="B19" s="1"/>
      <x:c r="C19" s="28" t="str">
        <x:v>Cash tax rate</x:v>
      </x:c>
      <x:c r="D19" s="28"/>
      <x:c r="E19" s="29" t="n">
        <x:f>'Assumptions'!J63</x:f>
        <x:v>0.15</x:v>
      </x:c>
      <x:c r="F19" s="29" t="n">
        <x:f>'Assumptions'!K63</x:f>
        <x:v>0.17</x:v>
      </x:c>
      <x:c r="G19" s="29" t="n">
        <x:f>'Assumptions'!L63</x:f>
        <x:v>0.19</x:v>
      </x:c>
      <x:c r="H19" s="29" t="n">
        <x:f>'Assumptions'!M63</x:f>
        <x:v>0.2</x:v>
      </x:c>
      <x:c r="I19" s="29" t="n">
        <x:f>'Assumptions'!N63</x:f>
        <x:v>0.2</x:v>
      </x:c>
      <x:c r="J19" s="29" t="n">
        <x:f>'Assumptions'!O63</x:f>
        <x:v>0.2</x:v>
      </x:c>
      <x:c r="K19" s="29" t="n">
        <x:f>'Assumptions'!P63</x:f>
        <x:v>0.2</x:v>
      </x:c>
      <x:c r="L19" s="2"/>
      <x:c r="M19" s="2"/>
      <x:c r="N19" s="2"/>
      <x:c r="O19" s="2"/>
      <x:c r="P19" s="2"/>
      <x:c r="Q19" s="1"/>
      <x:c r="R19" s="1"/>
    </x:row>
    <x:row r="20" ht="21" customHeight="1">
      <x:c r="A20" s="1"/>
      <x:c r="B20" s="1"/>
      <x:c r="C20" s="1" t="str">
        <x:v>Adjusted EPS (non-GAAP proxy)</x:v>
      </x:c>
      <x:c r="D20" s="1"/>
      <x:c r="E20" s="24" t="n">
        <x:f>(E17+'Assumptions'!$E$96)*(1-E19)/'Assumptions'!$E$85</x:f>
        <x:v>21.832738297158446</x:v>
      </x:c>
      <x:c r="F20" s="24" t="n">
        <x:f>(F17+'Assumptions'!$E$96)*(1-F19)/'Assumptions'!$E$85</x:f>
        <x:v>33.422207332578</x:v>
      </x:c>
      <x:c r="G20" s="24" t="n">
        <x:f>(G17+'Assumptions'!$E$96)*(1-G19)/'Assumptions'!$E$85</x:f>
        <x:v>43.617244796109105</x:v>
      </x:c>
      <x:c r="H20" s="24" t="n">
        <x:f>(H17+'Assumptions'!$E$96)*(1-H19)/'Assumptions'!$E$85</x:f>
        <x:v>51.80105060822651</x:v>
      </x:c>
      <x:c r="I20" s="24" t="n">
        <x:f>(I17+'Assumptions'!$E$96)*(1-I19)/'Assumptions'!$E$85</x:f>
        <x:v>59.178090748273874</x:v>
      </x:c>
      <x:c r="J20" s="24" t="n">
        <x:f>(J17+'Assumptions'!$E$96)*(1-J19)/'Assumptions'!$E$85</x:f>
        <x:v>64.31070651974223</x:v>
      </x:c>
      <x:c r="K20" s="24" t="n">
        <x:f>(K17+'Assumptions'!$E$96)*(1-K19)/'Assumptions'!$E$85</x:f>
        <x:v>68.00675243527402</x:v>
      </x:c>
      <x:c r="L20" s="2"/>
      <x:c r="M20" s="2"/>
      <x:c r="N20" s="2"/>
      <x:c r="O20" s="2"/>
      <x:c r="P20" s="2"/>
      <x:c r="Q20" s="1"/>
      <x:c r="R20" s="1"/>
    </x:row>
    <x:row r="21" ht="21" customHeight="1">
      <x:c r="A21" s="1"/>
      <x:c r="B21" s="1"/>
      <x:c r="C21" s="1"/>
      <x:c r="D21" s="1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1"/>
      <x:c r="R21" s="1"/>
    </x:row>
    <x:row r="22" ht="21" customHeight="1">
      <x:c r="A22" s="1"/>
      <x:c r="B22" s="1"/>
      <x:c r="C22" s="1" t="str">
        <x:v>Recurring SBC economic cost</x:v>
      </x:c>
      <x:c r="D22" s="1"/>
      <x:c r="E22" s="21" t="n">
        <x:f>E10*'Assumptions'!J68</x:f>
        <x:v>183.02045800533085</x:v>
      </x:c>
      <x:c r="F22" s="21" t="n">
        <x:f>F10*'Assumptions'!K68</x:f>
        <x:v>268.8160444281654</x:v>
      </x:c>
      <x:c r="G22" s="21" t="n">
        <x:f>G10*'Assumptions'!L68</x:f>
        <x:v>354.6154282372687</x:v>
      </x:c>
      <x:c r="H22" s="21" t="n">
        <x:f>H10*'Assumptions'!M68</x:f>
        <x:v>432.4971840336048</x:v>
      </x:c>
      <x:c r="I22" s="21" t="n">
        <x:f>I10*'Assumptions'!N68</x:f>
        <x:v>502.5907642503073</x:v>
      </x:c>
      <x:c r="J22" s="21" t="n">
        <x:f>J10*'Assumptions'!O68</x:f>
        <x:v>556.9554560631786</x:v>
      </x:c>
      <x:c r="K22" s="21" t="n">
        <x:f>K10*'Assumptions'!P68</x:f>
        <x:v>601.5118925482329</x:v>
      </x:c>
      <x:c r="L22" s="2"/>
      <x:c r="M22" s="2"/>
      <x:c r="N22" s="2"/>
      <x:c r="O22" s="2"/>
      <x:c r="P22" s="2"/>
      <x:c r="Q22" s="1"/>
      <x:c r="R22" s="1"/>
    </x:row>
    <x:row r="23" ht="21" customHeight="1">
      <x:c r="A23" s="1"/>
      <x:c r="B23" s="1"/>
      <x:c r="C23" s="1" t="str">
        <x:v>Economic operating profit</x:v>
      </x:c>
      <x:c r="D23" s="1"/>
      <x:c r="E23" s="13" t="n">
        <x:f>E17-E22</x:f>
        <x:v>2436.908137653683</x:v>
      </x:c>
      <x:c r="F23" s="13" t="n">
        <x:f>F17-F22</x:f>
        <x:v>3838.4913627079263</x:v>
      </x:c>
      <x:c r="G23" s="13" t="n">
        <x:f>G17-G22</x:f>
        <x:v>5137.926509050543</x:v>
      </x:c>
      <x:c r="H23" s="13" t="n">
        <x:f>H17-H22</x:f>
        <x:v>6172.136768515275</x:v>
      </x:c>
      <x:c r="I23" s="13" t="n">
        <x:f>I17-I22</x:f>
        <x:v>7042.615806154611</x:v>
      </x:c>
      <x:c r="J23" s="13" t="n">
        <x:f>J17-J22</x:f>
        <x:v>7642.659625203954</x:v>
      </x:c>
      <x:c r="K23" s="13" t="n">
        <x:f>K17-K22</x:f>
        <x:v>8069.349042949205</x:v>
      </x:c>
      <x:c r="L23" s="2"/>
      <x:c r="M23" s="2"/>
      <x:c r="N23" s="2"/>
      <x:c r="O23" s="2"/>
      <x:c r="P23" s="2"/>
      <x:c r="Q23" s="1"/>
      <x:c r="R23" s="1"/>
    </x:row>
    <x:row r="24" ht="21" customHeight="1">
      <x:c r="A24" s="1"/>
      <x:c r="B24" s="1"/>
      <x:c r="C24" s="36" t="str">
        <x:v>After-tax operating profit</x:v>
      </x:c>
      <x:c r="D24" s="36"/>
      <x:c r="E24" s="37" t="n">
        <x:f>E23*(1-E19)</x:f>
        <x:v>2071.37191700563</x:v>
      </x:c>
      <x:c r="F24" s="37" t="n">
        <x:f>F23*(1-F19)</x:f>
        <x:v>3185.947831047579</x:v>
      </x:c>
      <x:c r="G24" s="37" t="n">
        <x:f>G23*(1-G19)</x:f>
        <x:v>4161.7204723309405</x:v>
      </x:c>
      <x:c r="H24" s="37" t="n">
        <x:f>H23*(1-H19)</x:f>
        <x:v>4937.7094148122205</x:v>
      </x:c>
      <x:c r="I24" s="37" t="n">
        <x:f>I23*(1-I19)</x:f>
        <x:v>5634.0926449236895</x:v>
      </x:c>
      <x:c r="J24" s="37" t="n">
        <x:f>J23*(1-J19)</x:f>
        <x:v>6114.127700163164</x:v>
      </x:c>
      <x:c r="K24" s="37" t="n">
        <x:f>K23*(1-K19)</x:f>
        <x:v>6455.479234359364</x:v>
      </x:c>
      <x:c r="L24" s="2"/>
      <x:c r="M24" s="2"/>
      <x:c r="N24" s="2"/>
      <x:c r="O24" s="2"/>
      <x:c r="P24" s="2"/>
      <x:c r="Q24" s="1"/>
      <x:c r="R24" s="1"/>
    </x:row>
    <x:row r="25" ht="21" customHeight="1">
      <x:c r="A25" s="1"/>
      <x:c r="B25" s="1"/>
      <x:c r="C25" s="1"/>
      <x:c r="D25" s="1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1"/>
      <x:c r="R25" s="1"/>
    </x:row>
    <x:row r="26" ht="21" customHeight="1">
      <x:c r="A26" s="1"/>
      <x:c r="B26" s="1"/>
      <x:c r="C26" s="1" t="str">
        <x:v>Beginning net PP&amp;E</x:v>
      </x:c>
      <x:c r="D26" s="1"/>
      <x:c r="E26" s="21" t="n">
        <x:f>'Actuals'!F24</x:f>
        <x:v>1159.1</x:v>
      </x:c>
      <x:c r="F26" s="13" t="n">
        <x:f>E29</x:f>
        <x:v>1843.2521264533218</x:v>
      </x:c>
      <x:c r="G26" s="13" t="n">
        <x:f>F29</x:f>
        <x:v>2744.7999199582314</x:v>
      </x:c>
      <x:c r="H26" s="13" t="n">
        <x:f>G29</x:f>
        <x:v>3669.828664845482</x:v>
      </x:c>
      <x:c r="I26" s="13" t="n">
        <x:f>H29</x:f>
        <x:v>4484.2491871144275</x:v>
      </x:c>
      <x:c r="J26" s="13" t="n">
        <x:f>I29</x:f>
        <x:v>5088.152624241699</x:v>
      </x:c>
      <x:c r="K26" s="13" t="n">
        <x:f>J29</x:f>
        <x:v>5568.0104993916775</x:v>
      </x:c>
      <x:c r="L26" s="2"/>
      <x:c r="M26" s="2"/>
      <x:c r="N26" s="2"/>
      <x:c r="O26" s="2"/>
      <x:c r="P26" s="2"/>
      <x:c r="Q26" s="1"/>
      <x:c r="R26" s="1"/>
    </x:row>
    <x:row r="27" ht="21" customHeight="1">
      <x:c r="A27" s="1"/>
      <x:c r="B27" s="1"/>
      <x:c r="C27" s="1" t="str">
        <x:v>Cash capex</x:v>
      </x:c>
      <x:c r="D27" s="1"/>
      <x:c r="E27" s="21" t="n">
        <x:f>E10*'Assumptions'!J58</x:f>
        <x:v>915.1022900266543</x:v>
      </x:c>
      <x:c r="F27" s="21" t="n">
        <x:f>F10*'Assumptions'!K58</x:f>
        <x:v>1254.4748739981055</x:v>
      </x:c>
      <x:c r="G27" s="21" t="n">
        <x:f>G10*'Assumptions'!L58</x:f>
        <x:v>1418.4617129490748</x:v>
      </x:c>
      <x:c r="H27" s="21" t="n">
        <x:f>H10*'Assumptions'!M58</x:f>
        <x:v>1441.6572801120162</x:v>
      </x:c>
      <x:c r="I27" s="21" t="n">
        <x:f>I10*'Assumptions'!N58</x:f>
        <x:v>1340.2420380008195</x:v>
      </x:c>
      <x:c r="J27" s="21" t="n">
        <x:f>J10*'Assumptions'!O58</x:f>
        <x:v>1299.5627308140838</x:v>
      </x:c>
      <x:c r="K27" s="21" t="n">
        <x:f>K10*'Assumptions'!P58</x:f>
        <x:v>1203.0237850964659</x:v>
      </x:c>
      <x:c r="L27" s="2"/>
      <x:c r="M27" s="2"/>
      <x:c r="N27" s="2"/>
      <x:c r="O27" s="2"/>
      <x:c r="P27" s="2"/>
      <x:c r="Q27" s="1"/>
      <x:c r="R27" s="1"/>
    </x:row>
    <x:row r="28" ht="21" customHeight="1">
      <x:c r="A28" s="1"/>
      <x:c r="B28" s="1"/>
      <x:c r="C28" s="1" t="str">
        <x:v>PP&amp;E depreciation</x:v>
      </x:c>
      <x:c r="D28" s="1"/>
      <x:c r="E28" s="21" t="n">
        <x:f>(E26+E27/2)/'Assumptions'!$E$89</x:f>
        <x:v>230.95016357333245</x:v>
      </x:c>
      <x:c r="F28" s="21" t="n">
        <x:f>(F26+F27/2)/'Assumptions'!$E$89</x:f>
        <x:v>352.92708049319634</x:v>
      </x:c>
      <x:c r="G28" s="21" t="n">
        <x:f>(G26+G27/2)/'Assumptions'!$E$89</x:f>
        <x:v>493.43296806182417</x:v>
      </x:c>
      <x:c r="H28" s="21" t="n">
        <x:f>(H26+H27/2)/'Assumptions'!$E$89</x:f>
        <x:v>627.23675784307</x:v>
      </x:c>
      <x:c r="I28" s="21" t="n">
        <x:f>(I26+I27/2)/'Assumptions'!$E$89</x:f>
        <x:v>736.3386008735481</x:v>
      </x:c>
      <x:c r="J28" s="21" t="n">
        <x:f>(J26+J27/2)/'Assumptions'!$E$89</x:f>
        <x:v>819.7048556641059</x:v>
      </x:c>
      <x:c r="K28" s="21" t="n">
        <x:f>(K26+K27/2)/'Assumptions'!$E$89</x:f>
        <x:v>881.3603417057014</x:v>
      </x:c>
      <x:c r="L28" s="2"/>
      <x:c r="M28" s="2"/>
      <x:c r="N28" s="2"/>
      <x:c r="O28" s="2"/>
      <x:c r="P28" s="2"/>
      <x:c r="Q28" s="1"/>
      <x:c r="R28" s="1"/>
    </x:row>
    <x:row r="29" ht="21" customHeight="1">
      <x:c r="A29" s="1"/>
      <x:c r="B29" s="1"/>
      <x:c r="C29" s="36" t="str">
        <x:v>Ending net PP&amp;E</x:v>
      </x:c>
      <x:c r="D29" s="36"/>
      <x:c r="E29" s="37" t="n">
        <x:f>SUM(E26:E27)-E28</x:f>
        <x:v>1843.2521264533218</x:v>
      </x:c>
      <x:c r="F29" s="37" t="n">
        <x:f>SUM(F26:F27)-F28</x:f>
        <x:v>2744.7999199582314</x:v>
      </x:c>
      <x:c r="G29" s="37" t="n">
        <x:f>SUM(G26:G27)-G28</x:f>
        <x:v>3669.828664845482</x:v>
      </x:c>
      <x:c r="H29" s="37" t="n">
        <x:f>SUM(H26:H27)-H28</x:f>
        <x:v>4484.2491871144275</x:v>
      </x:c>
      <x:c r="I29" s="37" t="n">
        <x:f>SUM(I26:I27)-I28</x:f>
        <x:v>5088.152624241699</x:v>
      </x:c>
      <x:c r="J29" s="37" t="n">
        <x:f>SUM(J26:J27)-J28</x:f>
        <x:v>5568.0104993916775</x:v>
      </x:c>
      <x:c r="K29" s="37" t="n">
        <x:f>SUM(K26:K27)-K28</x:f>
        <x:v>5889.673942782442</x:v>
      </x:c>
      <x:c r="L29" s="2"/>
      <x:c r="M29" s="2"/>
      <x:c r="N29" s="2"/>
      <x:c r="O29" s="2"/>
      <x:c r="P29" s="2"/>
      <x:c r="Q29" s="1"/>
      <x:c r="R29" s="1"/>
    </x:row>
    <x:row r="30" ht="21" customHeight="1">
      <x:c r="A30" s="1"/>
      <x:c r="B30" s="1"/>
      <x:c r="C30" s="1"/>
      <x:c r="D30" s="1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1"/>
      <x:c r="R30" s="1"/>
    </x:row>
    <x:row r="31" ht="21" customHeight="1">
      <x:c r="A31" s="1"/>
      <x:c r="B31" s="1"/>
      <x:c r="C31" s="1" t="str">
        <x:v>Receivables</x:v>
      </x:c>
      <x:c r="D31" s="1"/>
      <x:c r="E31" s="21" t="n">
        <x:f>E10/'Assumptions'!$E$94*'Assumptions'!$E$86</x:f>
        <x:v>835.7098539056203</x:v>
      </x:c>
      <x:c r="F31" s="21" t="n">
        <x:f>F10/'Assumptions'!$E$94*'Assumptions'!$E$86</x:f>
        <x:v>1227.4705225030386</x:v>
      </x:c>
      <x:c r="G31" s="21" t="n">
        <x:f>G10/'Assumptions'!$E$94*'Assumptions'!$E$86</x:f>
        <x:v>1619.2485307637842</x:v>
      </x:c>
      <x:c r="H31" s="21" t="n">
        <x:f>H10/'Assumptions'!$E$94*'Assumptions'!$E$86</x:f>
        <x:v>1974.8729864548168</x:v>
      </x:c>
      <x:c r="I31" s="21" t="n">
        <x:f>I10/'Assumptions'!$E$94*'Assumptions'!$E$86</x:f>
        <x:v>2294.9349965767456</x:v>
      </x:c>
      <x:c r="J31" s="21" t="n">
        <x:f>J10/'Assumptions'!$E$94*'Assumptions'!$E$86</x:f>
        <x:v>2543.175598462003</x:v>
      </x:c>
      <x:c r="K31" s="21" t="n">
        <x:f>K10/'Assumptions'!$E$94*'Assumptions'!$E$86</x:f>
        <x:v>2746.629646338963</x:v>
      </x:c>
      <x:c r="L31" s="2"/>
      <x:c r="M31" s="2"/>
      <x:c r="N31" s="2"/>
      <x:c r="O31" s="2"/>
      <x:c r="P31" s="2"/>
      <x:c r="Q31" s="1"/>
      <x:c r="R31" s="1"/>
    </x:row>
    <x:row r="32" ht="21" customHeight="1">
      <x:c r="A32" s="1"/>
      <x:c r="B32" s="1"/>
      <x:c r="C32" s="1" t="str">
        <x:v>Inventory</x:v>
      </x:c>
      <x:c r="D32" s="1"/>
      <x:c r="E32" s="21" t="n">
        <x:f>(E13+E22*'Assumptions'!$E$90)/'Assumptions'!$E$94*'Assumptions'!J73</x:f>
        <x:v>889.6926565095798</x:v>
      </x:c>
      <x:c r="F32" s="21" t="n">
        <x:f>(F13+F22*'Assumptions'!$E$90)/'Assumptions'!$E$94*'Assumptions'!K73</x:f>
        <x:v>1206.8244683145372</x:v>
      </x:c>
      <x:c r="G32" s="21" t="n">
        <x:f>(G13+G22*'Assumptions'!$E$90)/'Assumptions'!$E$94*'Assumptions'!L73</x:f>
        <x:v>1519.6485536365037</x:v>
      </x:c>
      <x:c r="H32" s="21" t="n">
        <x:f>(H13+H22*'Assumptions'!$E$90)/'Assumptions'!$E$94*'Assumptions'!M73</x:f>
        <x:v>1804.638935022411</x:v>
      </x:c>
      <x:c r="I32" s="21" t="n">
        <x:f>(I13+I22*'Assumptions'!$E$90)/'Assumptions'!$E$94*'Assumptions'!N73</x:f>
        <x:v>2035.8597848131967</x:v>
      </x:c>
      <x:c r="J32" s="21" t="n">
        <x:f>(J13+J22*'Assumptions'!$E$90)/'Assumptions'!$E$94*'Assumptions'!O73</x:f>
        <x:v>2183.1127972317527</x:v>
      </x:c>
      <x:c r="K32" s="21" t="n">
        <x:f>(K13+K22*'Assumptions'!$E$90)/'Assumptions'!$E$94*'Assumptions'!P73</x:f>
        <x:v>2407.201154644394</x:v>
      </x:c>
      <x:c r="L32" s="2"/>
      <x:c r="M32" s="2"/>
      <x:c r="N32" s="2"/>
      <x:c r="O32" s="2"/>
      <x:c r="P32" s="2"/>
      <x:c r="Q32" s="1"/>
      <x:c r="R32" s="1"/>
    </x:row>
    <x:row r="33" ht="21" customHeight="1">
      <x:c r="A33" s="1"/>
      <x:c r="B33" s="1"/>
      <x:c r="C33" s="1" t="str">
        <x:v>Operating payables</x:v>
      </x:c>
      <x:c r="D33" s="1"/>
      <x:c r="E33" s="21" t="n">
        <x:f>(E13+E22*'Assumptions'!$E$90)/'Assumptions'!$E$94*'Assumptions'!$E$87</x:f>
        <x:v>541.5520517884398</x:v>
      </x:c>
      <x:c r="F33" s="21" t="n">
        <x:f>(F13+F22*'Assumptions'!$E$90)/'Assumptions'!$E$94*'Assumptions'!$E$87</x:f>
        <x:v>767.979207109251</x:v>
      </x:c>
      <x:c r="G33" s="21" t="n">
        <x:f>(G13+G22*'Assumptions'!$E$90)/'Assumptions'!$E$94*'Assumptions'!$E$87</x:f>
        <x:v>1013.0990357576691</x:v>
      </x:c>
      <x:c r="H33" s="21" t="n">
        <x:f>(H13+H22*'Assumptions'!$E$90)/'Assumptions'!$E$94*'Assumptions'!$E$87</x:f>
        <x:v>1263.2472545156877</x:v>
      </x:c>
      <x:c r="I33" s="21" t="n">
        <x:f>(I13+I22*'Assumptions'!$E$90)/'Assumptions'!$E$94*'Assumptions'!$E$87</x:f>
        <x:v>1500.1072098623556</x:v>
      </x:c>
      <x:c r="J33" s="21" t="n">
        <x:f>(J13+J22*'Assumptions'!$E$90)/'Assumptions'!$E$94*'Assumptions'!$E$87</x:f>
        <x:v>1697.9766200691408</x:v>
      </x:c>
      <x:c r="K33" s="21" t="n">
        <x:f>(K13+K22*'Assumptions'!$E$90)/'Assumptions'!$E$94*'Assumptions'!$E$87</x:f>
        <x:v>1872.2675647234178</x:v>
      </x:c>
      <x:c r="L33" s="2"/>
      <x:c r="M33" s="2"/>
      <x:c r="N33" s="2"/>
      <x:c r="O33" s="2"/>
      <x:c r="P33" s="2"/>
      <x:c r="Q33" s="1"/>
      <x:c r="R33" s="1"/>
    </x:row>
    <x:row r="34" ht="21" customHeight="1">
      <x:c r="A34" s="1"/>
      <x:c r="B34" s="1"/>
      <x:c r="C34" s="1" t="str">
        <x:v>Other operating NWC</x:v>
      </x:c>
      <x:c r="D34" s="1"/>
      <x:c r="E34" s="21" t="n">
        <x:f>E10*'Assumptions'!$E$88</x:f>
        <x:v>183.02045800533085</x:v>
      </x:c>
      <x:c r="F34" s="21" t="n">
        <x:f>F10*'Assumptions'!$E$88</x:f>
        <x:v>268.8160444281654</x:v>
      </x:c>
      <x:c r="G34" s="21" t="n">
        <x:f>G10*'Assumptions'!$E$88</x:f>
        <x:v>354.6154282372687</x:v>
      </x:c>
      <x:c r="H34" s="21" t="n">
        <x:f>H10*'Assumptions'!$E$88</x:f>
        <x:v>432.4971840336048</x:v>
      </x:c>
      <x:c r="I34" s="21" t="n">
        <x:f>I10*'Assumptions'!$E$88</x:f>
        <x:v>502.5907642503073</x:v>
      </x:c>
      <x:c r="J34" s="21" t="n">
        <x:f>J10*'Assumptions'!$E$88</x:f>
        <x:v>556.9554560631786</x:v>
      </x:c>
      <x:c r="K34" s="21" t="n">
        <x:f>K10*'Assumptions'!$E$88</x:f>
        <x:v>601.5118925482329</x:v>
      </x:c>
      <x:c r="L34" s="2"/>
      <x:c r="M34" s="2"/>
      <x:c r="N34" s="2"/>
      <x:c r="O34" s="2"/>
      <x:c r="P34" s="2"/>
      <x:c r="Q34" s="1"/>
      <x:c r="R34" s="1"/>
    </x:row>
    <x:row r="35" ht="21" customHeight="1">
      <x:c r="A35" s="1"/>
      <x:c r="B35" s="1"/>
      <x:c r="C35" s="36" t="str">
        <x:v>Net operating working capital</x:v>
      </x:c>
      <x:c r="D35" s="36"/>
      <x:c r="E35" s="37" t="n">
        <x:f>SUM(E31:E32)-E33+E34</x:f>
        <x:v>1366.8709166320914</x:v>
      </x:c>
      <x:c r="F35" s="37" t="n">
        <x:f>SUM(F31:F32)-F33+F34</x:f>
        <x:v>1935.1318281364904</x:v>
      </x:c>
      <x:c r="G35" s="37" t="n">
        <x:f>SUM(G31:G32)-G33+G34</x:f>
        <x:v>2480.413476879887</x:v>
      </x:c>
      <x:c r="H35" s="37" t="n">
        <x:f>SUM(H31:H32)-H33+H34</x:f>
        <x:v>2948.7618509951444</x:v>
      </x:c>
      <x:c r="I35" s="37" t="n">
        <x:f>SUM(I31:I32)-I33+I34</x:f>
        <x:v>3333.2783357778944</x:v>
      </x:c>
      <x:c r="J35" s="37" t="n">
        <x:f>SUM(J31:J32)-J33+J34</x:f>
        <x:v>3585.2672316877934</x:v>
      </x:c>
      <x:c r="K35" s="37" t="n">
        <x:f>SUM(K31:K32)-K33+K34</x:f>
        <x:v>3883.0751288081724</x:v>
      </x:c>
      <x:c r="L35" s="2"/>
      <x:c r="M35" s="2"/>
      <x:c r="N35" s="2"/>
      <x:c r="O35" s="2"/>
      <x:c r="P35" s="2"/>
      <x:c r="Q35" s="1"/>
      <x:c r="R35" s="1"/>
    </x:row>
    <x:row r="36" ht="21" customHeight="1">
      <x:c r="A36" s="1"/>
      <x:c r="B36" s="1"/>
      <x:c r="C36" s="1" t="str">
        <x:v>Increase in NWC</x:v>
      </x:c>
      <x:c r="D36" s="1"/>
      <x:c r="E36" s="13" t="n">
        <x:f>E35-$E$63</x:f>
        <x:v>447.4411741663379</x:v>
      </x:c>
      <x:c r="F36" s="13" t="n">
        <x:f>F35-E35</x:f>
        <x:v>568.260911504399</x:v>
      </x:c>
      <x:c r="G36" s="13" t="n">
        <x:f>G35-F35</x:f>
        <x:v>545.2816487433968</x:v>
      </x:c>
      <x:c r="H36" s="13" t="n">
        <x:f>H35-G35</x:f>
        <x:v>468.34837411525723</x:v>
      </x:c>
      <x:c r="I36" s="13" t="n">
        <x:f>I35-H35</x:f>
        <x:v>384.51648478275</x:v>
      </x:c>
      <x:c r="J36" s="13" t="n">
        <x:f>J35-I35</x:f>
        <x:v>251.98889590989893</x:v>
      </x:c>
      <x:c r="K36" s="13" t="n">
        <x:f>K35-J35</x:f>
        <x:v>297.80789712037904</x:v>
      </x:c>
      <x:c r="L36" s="2"/>
      <x:c r="M36" s="2"/>
      <x:c r="N36" s="2"/>
      <x:c r="O36" s="2"/>
      <x:c r="P36" s="2"/>
      <x:c r="Q36" s="1"/>
      <x:c r="R36" s="1"/>
    </x:row>
    <x:row r="37" ht="21" customHeight="1">
      <x:c r="A37" s="1"/>
      <x:c r="B37" s="1"/>
      <x:c r="C37" s="1"/>
      <x:c r="D37" s="1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1"/>
      <x:c r="R37" s="1"/>
    </x:row>
    <x:row r="38" ht="21" customHeight="1">
      <x:c r="A38" s="1"/>
      <x:c r="B38" s="1"/>
      <x:c r="C38" s="36" t="str">
        <x:v>Economic unlevered FCF</x:v>
      </x:c>
      <x:c r="D38" s="36"/>
      <x:c r="E38" s="37" t="n">
        <x:f>SUM(E24,E28)-SUM(E27,E36)</x:f>
        <x:v>939.7786163859703</x:v>
      </x:c>
      <x:c r="F38" s="37" t="n">
        <x:f>SUM(F24,F28)-SUM(F27,F36)</x:f>
        <x:v>1716.1391260382704</x:v>
      </x:c>
      <x:c r="G38" s="37" t="n">
        <x:f>SUM(G24,G28)-SUM(G27,G36)</x:f>
        <x:v>2691.4100787002926</x:v>
      </x:c>
      <x:c r="H38" s="37" t="n">
        <x:f>SUM(H24,H28)-SUM(H27,H36)</x:f>
        <x:v>3654.9405184280176</x:v>
      </x:c>
      <x:c r="I38" s="37" t="n">
        <x:f>SUM(I24,I28)-SUM(I27,I36)</x:f>
        <x:v>4645.672723013668</x:v>
      </x:c>
      <x:c r="J38" s="37" t="n">
        <x:f>SUM(J24,J28)-SUM(J27,J36)</x:f>
        <x:v>5382.280929103287</x:v>
      </x:c>
      <x:c r="K38" s="37" t="n">
        <x:f>SUM(K24,K28)-SUM(K27,K36)</x:f>
        <x:v>5836.00789384822</x:v>
      </x:c>
      <x:c r="L38" s="2"/>
      <x:c r="M38" s="2"/>
      <x:c r="N38" s="2"/>
      <x:c r="O38" s="2"/>
      <x:c r="P38" s="2"/>
      <x:c r="Q38" s="1"/>
      <x:c r="R38" s="1"/>
    </x:row>
    <x:row r="39" ht="21" customHeight="1">
      <x:c r="A39" s="1"/>
      <x:c r="B39" s="1"/>
      <x:c r="C39" s="28" t="str">
        <x:v>FCF margin</x:v>
      </x:c>
      <x:c r="D39" s="28"/>
      <x:c r="E39" s="31" t="n">
        <x:f>E38/E10</x:f>
        <x:v>0.15404484722007372</x:v>
      </x:c>
      <x:c r="F39" s="31" t="n">
        <x:f>F38/F10</x:f>
        <x:v>0.19152195283085496</x:v>
      </x:c>
      <x:c r="G39" s="31" t="n">
        <x:f>G38/G10</x:f>
        <x:v>0.22768976172967048</x:v>
      </x:c>
      <x:c r="H39" s="31" t="n">
        <x:f>H38/H10</x:f>
        <x:v>0.2535235363389578</x:v>
      </x:c>
      <x:c r="I39" s="31" t="n">
        <x:f>I38/I10</x:f>
        <x:v>0.27730350735414416</x:v>
      </x:c>
      <x:c r="J39" s="31" t="n">
        <x:f>J38/J10</x:f>
        <x:v>0.2899126422325277</x:v>
      </x:c>
      <x:c r="K39" s="31" t="n">
        <x:f>K38/K10</x:f>
        <x:v>0.2910669580841373</x:v>
      </x:c>
      <x:c r="L39" s="2"/>
      <x:c r="M39" s="2"/>
      <x:c r="N39" s="2"/>
      <x:c r="O39" s="2"/>
      <x:c r="P39" s="2"/>
      <x:c r="Q39" s="1"/>
      <x:c r="R39" s="1"/>
    </x:row>
    <x:row r="40" ht="21" customHeight="1">
      <x:c r="A40" s="1"/>
      <x:c r="B40" s="1"/>
      <x:c r="C40" s="1" t="str">
        <x:v>Discount period</x:v>
      </x:c>
      <x:c r="D40" s="1"/>
      <x:c r="E40" s="2" t="n">
        <x:v>1</x:v>
      </x:c>
      <x:c r="F40" s="2" t="n">
        <x:v>2</x:v>
      </x:c>
      <x:c r="G40" s="2" t="n">
        <x:v>3</x:v>
      </x:c>
      <x:c r="H40" s="2" t="n">
        <x:v>4</x:v>
      </x:c>
      <x:c r="I40" s="2" t="n">
        <x:v>5</x:v>
      </x:c>
      <x:c r="J40" s="2" t="n">
        <x:v>6</x:v>
      </x:c>
      <x:c r="K40" s="2" t="n">
        <x:v>7</x:v>
      </x:c>
      <x:c r="L40" s="2"/>
      <x:c r="M40" s="2"/>
      <x:c r="N40" s="2"/>
      <x:c r="O40" s="2"/>
      <x:c r="P40" s="2"/>
      <x:c r="Q40" s="1"/>
      <x:c r="R40" s="1"/>
    </x:row>
    <x:row r="41" ht="21" customHeight="1">
      <x:c r="A41" s="1"/>
      <x:c r="B41" s="1"/>
      <x:c r="C41" s="1" t="str">
        <x:v>Present value of FCF</x:v>
      </x:c>
      <x:c r="D41" s="1"/>
      <x:c r="E41" s="21" t="n">
        <x:f>E38/(1+'Assumptions'!$E$91)^E40</x:f>
        <x:v>850.4783858696563</x:v>
      </x:c>
      <x:c r="F41" s="21" t="n">
        <x:f>F38/(1+'Assumptions'!$E$91)^F40</x:f>
        <x:v>1405.490572296448</x:v>
      </x:c>
      <x:c r="G41" s="21" t="n">
        <x:f>G38/(1+'Assumptions'!$E$91)^G40</x:f>
        <x:v>1994.770974871952</x:v>
      </x:c>
      <x:c r="H41" s="21" t="n">
        <x:f>H38/(1+'Assumptions'!$E$91)^H40</x:f>
        <x:v>2451.496070379562</x:v>
      </x:c>
      <x:c r="I41" s="21" t="n">
        <x:f>I38/(1+'Assumptions'!$E$91)^I40</x:f>
        <x:v>2819.9228157525185</x:v>
      </x:c>
      <x:c r="J41" s="21" t="n">
        <x:f>J38/(1+'Assumptions'!$E$91)^J40</x:f>
        <x:v>2956.6008264890297</x:v>
      </x:c>
      <x:c r="K41" s="21" t="n">
        <x:f>K38/(1+'Assumptions'!$E$91)^K40</x:f>
        <x:v>2901.215068806011</x:v>
      </x:c>
      <x:c r="L41" s="2"/>
      <x:c r="M41" s="2"/>
      <x:c r="N41" s="2"/>
      <x:c r="O41" s="2"/>
      <x:c r="P41" s="2"/>
      <x:c r="Q41" s="1"/>
      <x:c r="R41" s="1"/>
    </x:row>
    <x:row r="42" ht="21" customHeight="1">
      <x:c r="A42" s="1"/>
      <x:c r="B42" s="1"/>
      <x:c r="C42" s="1"/>
      <x:c r="D42" s="1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1"/>
      <x:c r="R42" s="1"/>
    </x:row>
    <x:row r="43" ht="21" customHeight="1">
      <x:c r="A43" s="1"/>
      <x:c r="B43" s="1"/>
      <x:c r="C43" s="1"/>
      <x:c r="D43" s="1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1"/>
      <x:c r="R43" s="1"/>
    </x:row>
    <x:row r="44" ht="23" customHeight="1">
      <x:c r="A44" s="1"/>
      <x:c r="B44" s="1"/>
      <x:c r="C44" s="8" t="str">
        <x:v>Valuation and terminal reinvestment</x:v>
      </x:c>
      <x:c r="D44" s="8"/>
      <x:c r="E44" s="9"/>
      <x:c r="F44" s="9"/>
      <x:c r="G44" s="9"/>
      <x:c r="H44" s="9"/>
      <x:c r="I44" s="9"/>
      <x:c r="J44" s="9"/>
      <x:c r="K44" s="9"/>
      <x:c r="L44" s="2"/>
      <x:c r="M44" s="2"/>
      <x:c r="N44" s="2"/>
      <x:c r="O44" s="2"/>
      <x:c r="P44" s="2"/>
      <x:c r="Q44" s="1"/>
      <x:c r="R44" s="1"/>
    </x:row>
    <x:row r="45" ht="21" customHeight="1">
      <x:c r="A45" s="1"/>
      <x:c r="B45" s="1"/>
      <x:c r="C45" s="1" t="str">
        <x:v>Terminal NOPAT</x:v>
      </x:c>
      <x:c r="D45" s="1"/>
      <x:c r="E45" s="21" t="n">
        <x:f>K24*(1+'Assumptions'!E92)</x:f>
        <x:v>6681.421007561942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1"/>
      <x:c r="R45" s="1"/>
    </x:row>
    <x:row r="46" ht="21" customHeight="1">
      <x:c r="A46" s="1"/>
      <x:c r="B46" s="1"/>
      <x:c r="C46" s="1" t="str">
        <x:v>Terminal reinvestment rate: g / ROIC</x:v>
      </x:c>
      <x:c r="D46" s="1"/>
      <x:c r="E46" s="22" t="n">
        <x:f>'Assumptions'!E92/'Assumptions'!E93</x:f>
        <x:v>0.17500000000000002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1"/>
      <x:c r="R46" s="1"/>
    </x:row>
    <x:row r="47" ht="21" customHeight="1">
      <x:c r="A47" s="1"/>
      <x:c r="B47" s="1"/>
      <x:c r="C47" s="1" t="str">
        <x:v>Terminal FCF</x:v>
      </x:c>
      <x:c r="D47" s="1"/>
      <x:c r="E47" s="13" t="n">
        <x:f>E45*(1-E46)</x:f>
        <x:v>5512.172331238602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1"/>
      <x:c r="R47" s="1"/>
    </x:row>
    <x:row r="48" ht="21" customHeight="1">
      <x:c r="A48" s="1"/>
      <x:c r="B48" s="1"/>
      <x:c r="C48" s="1" t="str">
        <x:v>Terminal enterprise value</x:v>
      </x:c>
      <x:c r="D48" s="1"/>
      <x:c r="E48" s="21" t="n">
        <x:f>E47/('Assumptions'!E91-'Assumptions'!E92)</x:f>
        <x:v>78745.31901769432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1"/>
      <x:c r="R48" s="1"/>
    </x:row>
    <x:row r="49" ht="21" customHeight="1">
      <x:c r="A49" s="1"/>
      <x:c r="B49" s="1"/>
      <x:c r="C49" s="1" t="str">
        <x:v>PV of terminal value</x:v>
      </x:c>
      <x:c r="D49" s="1"/>
      <x:c r="E49" s="21" t="n">
        <x:f>E48/(1+'Assumptions'!E91)^K40</x:f>
        <x:v>39146.12699083043</x:v>
      </x:c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1"/>
      <x:c r="R49" s="1"/>
    </x:row>
    <x:row r="50" ht="21" customHeight="1">
      <x:c r="A50" s="1"/>
      <x:c r="B50" s="1"/>
      <x:c r="C50" s="1" t="str">
        <x:v>PV of explicit forecast</x:v>
      </x:c>
      <x:c r="D50" s="1"/>
      <x:c r="E50" s="13" t="n">
        <x:f>SUM(E41:K41)</x:f>
        <x:v>15379.974714465177</x:v>
      </x:c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1"/>
      <x:c r="R50" s="1"/>
    </x:row>
    <x:row r="51" ht="21" customHeight="1">
      <x:c r="A51" s="1"/>
      <x:c r="B51" s="1"/>
      <x:c r="C51" s="1" t="str">
        <x:v>Enterprise value</x:v>
      </x:c>
      <x:c r="D51" s="1"/>
      <x:c r="E51" s="13" t="n">
        <x:f>SUM(E49:E50)</x:f>
        <x:v>54526.10170529561</x:v>
      </x:c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1"/>
      <x:c r="R51" s="1"/>
    </x:row>
    <x:row r="52" ht="21" customHeight="1">
      <x:c r="A52" s="1"/>
      <x:c r="B52" s="1"/>
      <x:c r="C52" s="1" t="str">
        <x:v>Cash and investments</x:v>
      </x:c>
      <x:c r="D52" s="1"/>
      <x:c r="E52" s="21" t="n">
        <x:f>'Actuals'!F19</x:f>
        <x:v>2738.4</x:v>
      </x:c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1"/>
      <x:c r="R52" s="1"/>
    </x:row>
    <x:row r="53" ht="21" customHeight="1">
      <x:c r="A53" s="1"/>
      <x:c r="B53" s="1"/>
      <x:c r="C53" s="1" t="str">
        <x:v>Debt carrying value</x:v>
      </x:c>
      <x:c r="D53" s="1"/>
      <x:c r="E53" s="21" t="n">
        <x:f>'Actuals'!F20</x:f>
        <x:v>1637.4</x:v>
      </x:c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1"/>
      <x:c r="R53" s="1"/>
    </x:row>
    <x:row r="54" ht="21" customHeight="1">
      <x:c r="A54" s="1"/>
      <x:c r="B54" s="1"/>
      <x:c r="C54" s="1" t="str">
        <x:v>Equity value</x:v>
      </x:c>
      <x:c r="D54" s="1"/>
      <x:c r="E54" s="13" t="n">
        <x:f>SUM(E51:E52)-E53</x:f>
        <x:v>55627.10170529561</x:v>
      </x:c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1"/>
      <x:c r="R54" s="1"/>
    </x:row>
    <x:row r="55" ht="21" customHeight="1">
      <x:c r="A55" s="1"/>
      <x:c r="B55" s="1"/>
      <x:c r="C55" s="1" t="str">
        <x:v>Diluted-share proxy</x:v>
      </x:c>
      <x:c r="D55" s="1"/>
      <x:c r="E55" s="21" t="n">
        <x:f>'Assumptions'!E85</x:f>
        <x:v>102</x:v>
      </x:c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1"/>
      <x:c r="R55" s="1"/>
    </x:row>
    <x:row r="56" ht="21" customHeight="1">
      <x:c r="A56" s="1"/>
      <x:c r="B56" s="1"/>
      <x:c r="C56" s="1" t="str">
        <x:v>DCF value per share</x:v>
      </x:c>
      <x:c r="D56" s="1"/>
      <x:c r="E56" s="13" t="n">
        <x:f>E54/E55</x:f>
        <x:v>545.3637422087804</x:v>
      </x:c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1"/>
      <x:c r="R56" s="1"/>
    </x:row>
    <x:row r="57" ht="21" customHeight="1">
      <x:c r="A57" s="1"/>
      <x:c r="B57" s="1"/>
      <x:c r="C57" s="1" t="str">
        <x:v>Return vs reference price</x:v>
      </x:c>
      <x:c r="D57" s="1"/>
      <x:c r="E57" s="22" t="n">
        <x:f>E56/'Actuals'!F29-1</x:f>
        <x:v>-0.38970720760871025</x:v>
      </x:c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1"/>
      <x:c r="R57" s="1"/>
    </x:row>
    <x:row r="58" ht="21" customHeight="1">
      <x:c r="A58" s="1"/>
      <x:c r="B58" s="1"/>
      <x:c r="C58" s="1" t="str">
        <x:v>Terminal share of enterprise value</x:v>
      </x:c>
      <x:c r="D58" s="1"/>
      <x:c r="E58" s="15" t="n">
        <x:f>E49/E51</x:f>
        <x:v>0.7179337192012855</x:v>
      </x:c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1"/>
      <x:c r="R58" s="1"/>
    </x:row>
    <x:row r="59" ht="21" customHeight="1">
      <x:c r="A59" s="1"/>
      <x:c r="B59" s="1"/>
      <x:c r="C59" s="1"/>
      <x:c r="D59" s="1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1"/>
      <x:c r="R59" s="1"/>
    </x:row>
    <x:row r="60" ht="21" customHeight="1">
      <x:c r="A60" s="1"/>
      <x:c r="B60" s="1"/>
      <x:c r="C60" s="1" t="str">
        <x:v>Opening receivables</x:v>
      </x:c>
      <x:c r="D60" s="1"/>
      <x:c r="E60" s="21" t="n">
        <x:f>'Actuals'!F21</x:f>
        <x:v>520.3</x:v>
      </x:c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1"/>
      <x:c r="R60" s="1"/>
    </x:row>
    <x:row r="61" ht="21" customHeight="1">
      <x:c r="A61" s="1"/>
      <x:c r="B61" s="1"/>
      <x:c r="C61" s="1" t="str">
        <x:v>Opening inventory</x:v>
      </x:c>
      <x:c r="D61" s="1"/>
      <x:c r="E61" s="21" t="n">
        <x:f>'Actuals'!F22</x:f>
        <x:v>691.6</x:v>
      </x:c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1"/>
      <x:c r="R61" s="1"/>
    </x:row>
    <x:row r="62" ht="21" customHeight="1">
      <x:c r="A62" s="1"/>
      <x:c r="B62" s="1"/>
      <x:c r="C62" s="1" t="str">
        <x:v>Normalized opening operating payables</x:v>
      </x:c>
      <x:c r="D62" s="1"/>
      <x:c r="E62" s="21" t="n">
        <x:f>'Actuals'!G8*4*(1-'Actuals'!G11)/'Assumptions'!E94*'Assumptions'!E87</x:f>
        <x:v>382.8902575342466</x:v>
      </x:c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1"/>
      <x:c r="R62" s="1"/>
    </x:row>
    <x:row r="63" ht="21" customHeight="1">
      <x:c r="A63" s="1"/>
      <x:c r="B63" s="1"/>
      <x:c r="C63" s="1" t="str">
        <x:v>Normalized opening operating NWC</x:v>
      </x:c>
      <x:c r="D63" s="1"/>
      <x:c r="E63" s="21" t="n">
        <x:f>SUM(E60:E61)-E62+'Actuals'!F8*'Assumptions'!E88</x:f>
        <x:v>919.4297424657535</x:v>
      </x:c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1"/>
      <x:c r="R63" s="1"/>
    </x:row>
    <x:row r="64" ht="21" customHeight="1">
      <x:c r="A64" s="1"/>
      <x:c r="B64" s="1"/>
      <x:c r="C64" s="1"/>
      <x:c r="D64" s="1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1"/>
      <x:c r="R64" s="1"/>
    </x:row>
    <x:row r="65" ht="21" customHeight="1">
      <x:c r="A65" s="1"/>
      <x:c r="B65" s="1"/>
      <x:c r="C65" s="1" t="str">
        <x:v>12-month exit P/E</x:v>
      </x:c>
      <x:c r="D65" s="1"/>
      <x:c r="E65" s="21" t="n">
        <x:f>'Assumptions'!E100</x:f>
        <x:v>30</x:v>
      </x:c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1"/>
      <x:c r="R65" s="1"/>
    </x:row>
    <x:row r="66" ht="21" customHeight="1">
      <x:c r="A66" s="1"/>
      <x:c r="B66" s="1"/>
      <x:c r="C66" s="1" t="str">
        <x:v>FY28 EPS used at 12-month exit</x:v>
      </x:c>
      <x:c r="D66" s="1"/>
      <x:c r="E66" s="13" t="n">
        <x:f>F20</x:f>
        <x:v>33.422207332578</x:v>
      </x:c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1"/>
      <x:c r="R66" s="1"/>
    </x:row>
    <x:row r="67" ht="21" customHeight="1">
      <x:c r="A67" s="1"/>
      <x:c r="B67" s="1"/>
      <x:c r="C67" s="1" t="str">
        <x:v>12-month P/E price</x:v>
      </x:c>
      <x:c r="D67" s="1"/>
      <x:c r="E67" s="13" t="n">
        <x:f>E65*E66</x:f>
        <x:v>1002.6662199773399</x:v>
      </x:c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1"/>
      <x:c r="R67" s="1"/>
    </x:row>
    <x:row r="68" ht="21" customHeight="1">
      <x:c r="A68" s="1"/>
      <x:c r="B68" s="1"/>
      <x:c r="C68" s="1" t="str">
        <x:v>12-month return</x:v>
      </x:c>
      <x:c r="D68" s="1"/>
      <x:c r="E68" s="22" t="n">
        <x:f>E67/'Actuals'!F29-1</x:f>
        <x:v>0.12204006219417862</x:v>
      </x:c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1"/>
      <x:c r="R68" s="1"/>
    </x:row>
    <x:row r="69" ht="21" customHeight="1">
      <x:c r="A69" s="1"/>
      <x:c r="B69" s="1"/>
      <x:c r="C69" s="1" t="str">
        <x:v>EPS needed for 20% return at exit P/E</x:v>
      </x:c>
      <x:c r="D69" s="1"/>
      <x:c r="E69" s="21" t="n">
        <x:f>'Actuals'!F29*1.2/E65</x:f>
        <x:v>35.7444</x:v>
      </x:c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1"/>
      <x:c r="R69" s="1"/>
    </x:row>
    <x:row r="70" ht="21" customHeight="1">
      <x:c r="A70" s="1"/>
      <x:c r="B70" s="1"/>
      <x:c r="C70" s="1"/>
      <x:c r="D70" s="1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1"/>
      <x:c r="R70" s="1"/>
    </x:row>
    <x:row r="71" ht="21" customHeight="1">
      <x:c r="A71" s="1"/>
      <x:c r="B71" s="1"/>
      <x:c r="C71" s="1"/>
      <x:c r="D71" s="1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1"/>
      <x:c r="R71" s="1"/>
    </x:row>
    <x:row r="72" ht="21" customHeight="1">
      <x:c r="A72" s="1"/>
      <x:c r="B72" s="1"/>
      <x:c r="C72" s="11" t="str">
        <x:v>DCF uses fiscal-year-end cash/debt and full annual cash flows; no unsupported September stub estimates.</x:v>
      </x:c>
      <x:c r="D72" s="11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"/>
      <x:c r="R72" s="1"/>
    </x:row>
    <x:row r="73" ht="21" customHeight="1">
      <x:c r="A73" s="1"/>
      <x:c r="B73" s="1"/>
      <x:c r="C73" s="11" t="str">
        <x:v>Terminal FCF = NOPAT × (1 − g / ROIC), ensuring growth requires reinvestment.</x:v>
      </x:c>
      <x:c r="D73" s="11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"/>
      <x:c r="R73" s="1"/>
    </x:row>
    <x:row r="74" ht="21" customHeight="1">
      <x:c r="A74" s="1"/>
      <x:c r="B74" s="1"/>
      <x:c r="C74" s="11" t="str">
        <x:v>Adjusted EBIT already excludes acquired amortization. Add back PP&amp;E depreciation only, not amortization again.</x:v>
      </x:c>
      <x:c r="D74" s="11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"/>
      <x:c r="R74" s="1"/>
    </x:row>
    <x:row r="75" ht="21" customHeight="1">
      <x:c r="A75" s="1"/>
      <x:c r="B75" s="1"/>
      <x:c r="C75" s="11" t="str">
        <x:v>SBC remains an economic expense. PP&amp;E uses 7-year remaining life and half-year capex convention.</x:v>
      </x:c>
      <x:c r="D75" s="11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"/>
      <x:c r="R75" s="1"/>
    </x:row>
    <x:row r="76" ht="21" customHeight="1">
      <x:c r="A76" s="1"/>
      <x:c r="B76" s="1"/>
      <x:c r="C76" s="11" t="str">
        <x:v>New-fab capex is included in aggregate ratios; no separate FY27 revenue from the Greensboro laser ramp.</x:v>
      </x:c>
      <x:c r="D76" s="11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"/>
      <x:c r="R76" s="1"/>
    </x:row>
    <x:row r="77" ht="21" customHeight="1">
      <x:c r="A77" s="1"/>
      <x:c r="B77" s="1"/>
      <x:c r="C77" s="11" t="str">
        <x:v>DCF is an intrinsic-value cross-check. The 12-month P/E price uses FY28 earnings and an explicit exit multiple.</x:v>
      </x:c>
      <x:c r="D77" s="11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"/>
      <x:c r="R77" s="1"/>
    </x:row>
    <x:row r="78" ht="21" customHeight="1">
      <x:c r="A78" s="1"/>
      <x:c r="B78" s="1"/>
      <x:c r="C78" s="1"/>
      <x:c r="D78" s="1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1"/>
      <x:c r="R78" s="1"/>
    </x:row>
    <x:row r="79" ht="21" customHeight="1">
      <x:c r="A79" s="1"/>
      <x:c r="B79" s="1"/>
      <x:c r="C79" s="1"/>
      <x:c r="D79" s="1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1"/>
      <x:c r="R79" s="1"/>
    </x:row>
    <x:row r="80" ht="23" customHeight="1">
      <x:c r="A80" s="1"/>
      <x:c r="B80" s="1"/>
      <x:c r="C80" s="8" t="str">
        <x:v>DCF sensitivity: WACC and terminal growth</x:v>
      </x:c>
      <x:c r="D80" s="8"/>
      <x:c r="E80" s="9"/>
      <x:c r="F80" s="9"/>
      <x:c r="G80" s="9"/>
      <x:c r="H80" s="9"/>
      <x:c r="I80" s="9"/>
      <x:c r="J80" s="9"/>
      <x:c r="K80" s="9"/>
      <x:c r="L80" s="2"/>
      <x:c r="M80" s="2"/>
      <x:c r="N80" s="2"/>
      <x:c r="O80" s="2"/>
      <x:c r="P80" s="2"/>
      <x:c r="Q80" s="1"/>
      <x:c r="R80" s="1"/>
    </x:row>
    <x:row r="81" ht="21" customHeight="1">
      <x:c r="A81" s="1"/>
      <x:c r="B81" s="1"/>
      <x:c r="C81" s="1"/>
      <x:c r="D81" s="1"/>
      <x:c r="E81" s="2"/>
      <x:c r="F81" s="10" t="n">
        <x:v>0.025</x:v>
      </x:c>
      <x:c r="G81" s="10" t="n">
        <x:v>0.03</x:v>
      </x:c>
      <x:c r="H81" s="10" t="n">
        <x:v>0.035</x:v>
      </x:c>
      <x:c r="I81" s="10" t="n">
        <x:v>0.04</x:v>
      </x:c>
      <x:c r="J81" s="10" t="n">
        <x:v>0.045</x:v>
      </x:c>
      <x:c r="K81" s="2"/>
      <x:c r="L81" s="2"/>
      <x:c r="M81" s="2"/>
      <x:c r="N81" s="2"/>
      <x:c r="O81" s="2"/>
      <x:c r="P81" s="2"/>
      <x:c r="Q81" s="1"/>
      <x:c r="R81" s="1"/>
    </x:row>
    <x:row r="82" ht="21" customHeight="1">
      <x:c r="A82" s="1"/>
      <x:c r="B82" s="1"/>
      <x:c r="C82" s="1"/>
      <x:c r="D82" s="1"/>
      <x:c r="E82" s="10" t="n">
        <x:v>0.085</x:v>
      </x:c>
      <x:c r="F82" s="21" t="n">
        <x:f>((E$38/(1+$E82)^E$40+F$38/(1+$E82)^F$40+G$38/(1+$E82)^G$40+H$38/(1+$E82)^H$40+I$38/(1+$E82)^I$40+J$38/(1+$E82)^J$40+K$38/(1+$E82)^K$40)+($K$24*(1+F$81)*(1-F$81/'Assumptions'!$E$93)/($E82-F$81))/(1+$E82)^$K$40+$E$52-$E$53)/$E$55</x:f>
        <x:v>709.4905012254519</x:v>
      </x:c>
      <x:c r="G82" s="21" t="n">
        <x:f>((E$38/(1+$E82)^E$40+F$38/(1+$E82)^F$40+G$38/(1+$E82)^G$40+H$38/(1+$E82)^H$40+I$38/(1+$E82)^I$40+J$38/(1+$E82)^J$40+K$38/(1+$E82)^K$40)+($K$24*(1+G$81)*(1-G$81/'Assumptions'!$E$93)/($E82-G$81))/(1+$E82)^$K$40+$E$52-$E$53)/$E$55</x:f>
        <x:v>744.1810030858218</x:v>
      </x:c>
      <x:c r="H82" s="21" t="n">
        <x:f>((E$38/(1+$E82)^E$40+F$38/(1+$E82)^F$40+G$38/(1+$E82)^G$40+H$38/(1+$E82)^H$40+I$38/(1+$E82)^I$40+J$38/(1+$E82)^J$40+K$38/(1+$E82)^K$40)+($K$24*(1+H$81)*(1-H$81/'Assumptions'!$E$93)/($E82-H$81))/(1+$E82)^$K$40+$E$52-$E$53)/$E$55</x:f>
        <x:v>785.6308371650133</x:v>
      </x:c>
      <x:c r="I82" s="21" t="n">
        <x:f>((E$38/(1+$E82)^E$40+F$38/(1+$E82)^F$40+G$38/(1+$E82)^G$40+H$38/(1+$E82)^H$40+I$38/(1+$E82)^I$40+J$38/(1+$E82)^J$40+K$38/(1+$E82)^K$40)+($K$24*(1+I$81)*(1-I$81/'Assumptions'!$E$93)/($E82-I$81))/(1+$E82)^$K$40+$E$52-$E$53)/$E$55</x:f>
        <x:v>836.0931142026329</x:v>
      </x:c>
      <x:c r="J82" s="21" t="n">
        <x:f>((E$38/(1+$E82)^E$40+F$38/(1+$E82)^F$40+G$38/(1+$E82)^G$40+H$38/(1+$E82)^H$40+I$38/(1+$E82)^I$40+J$38/(1+$E82)^J$40+K$38/(1+$E82)^K$40)+($K$24*(1+J$81)*(1-J$81/'Assumptions'!$E$93)/($E82-J$81))/(1+$E82)^$K$40+$E$52-$E$53)/$E$55</x:f>
        <x:v>898.9475003080913</x:v>
      </x:c>
      <x:c r="K82" s="2"/>
      <x:c r="L82" s="2"/>
      <x:c r="M82" s="2"/>
      <x:c r="N82" s="2"/>
      <x:c r="O82" s="2"/>
      <x:c r="P82" s="2"/>
      <x:c r="Q82" s="1"/>
      <x:c r="R82" s="1"/>
    </x:row>
    <x:row r="83" ht="21" customHeight="1">
      <x:c r="A83" s="1"/>
      <x:c r="B83" s="1"/>
      <x:c r="C83" s="1"/>
      <x:c r="D83" s="1"/>
      <x:c r="E83" s="10" t="n">
        <x:v>0.095</x:v>
      </x:c>
      <x:c r="F83" s="21" t="n">
        <x:f>((E$38/(1+$E83)^E$40+F$38/(1+$E83)^F$40+G$38/(1+$E83)^G$40+H$38/(1+$E83)^H$40+I$38/(1+$E83)^I$40+J$38/(1+$E83)^J$40+K$38/(1+$E83)^K$40)+($K$24*(1+F$81)*(1-F$81/'Assumptions'!$E$93)/($E83-F$81))/(1+$E83)^$K$40+$E$52-$E$53)/$E$55</x:f>
        <x:v>597.7165505230461</x:v>
      </x:c>
      <x:c r="G83" s="21" t="n">
        <x:f>((E$38/(1+$E83)^E$40+F$38/(1+$E83)^F$40+G$38/(1+$E83)^G$40+H$38/(1+$E83)^H$40+I$38/(1+$E83)^I$40+J$38/(1+$E83)^J$40+K$38/(1+$E83)^K$40)+($K$24*(1+G$81)*(1-G$81/'Assumptions'!$E$93)/($E83-G$81))/(1+$E83)^$K$40+$E$52-$E$53)/$E$55</x:f>
        <x:v>619.7365268042313</x:v>
      </x:c>
      <x:c r="H83" s="21" t="n">
        <x:f>((E$38/(1+$E83)^E$40+F$38/(1+$E83)^F$40+G$38/(1+$E83)^G$40+H$38/(1+$E83)^H$40+I$38/(1+$E83)^I$40+J$38/(1+$E83)^J$40+K$38/(1+$E83)^K$40)+($K$24*(1+H$81)*(1-H$81/'Assumptions'!$E$93)/($E83-H$81))/(1+$E83)^$K$40+$E$52-$E$53)/$E$55</x:f>
        <x:v>645.2867921085349</x:v>
      </x:c>
      <x:c r="I83" s="21" t="n">
        <x:f>((E$38/(1+$E83)^E$40+F$38/(1+$E83)^F$40+G$38/(1+$E83)^G$40+H$38/(1+$E83)^H$40+I$38/(1+$E83)^I$40+J$38/(1+$E83)^J$40+K$38/(1+$E83)^K$40)+($K$24*(1+I$81)*(1-I$81/'Assumptions'!$E$93)/($E83-I$81))/(1+$E83)^$K$40+$E$52-$E$53)/$E$55</x:f>
        <x:v>675.3301525331708</x:v>
      </x:c>
      <x:c r="J83" s="21" t="n">
        <x:f>((E$38/(1+$E83)^E$40+F$38/(1+$E83)^F$40+G$38/(1+$E83)^G$40+H$38/(1+$E83)^H$40+I$38/(1+$E83)^I$40+J$38/(1+$E83)^J$40+K$38/(1+$E83)^K$40)+($K$24*(1+J$81)*(1-J$81/'Assumptions'!$E$93)/($E83-J$81))/(1+$E83)^$K$40+$E$52-$E$53)/$E$55</x:f>
        <x:v>711.2145366142387</x:v>
      </x:c>
      <x:c r="K83" s="2"/>
      <x:c r="L83" s="2"/>
      <x:c r="M83" s="2"/>
      <x:c r="N83" s="2"/>
      <x:c r="O83" s="2"/>
      <x:c r="P83" s="2"/>
      <x:c r="Q83" s="1"/>
      <x:c r="R83" s="1"/>
    </x:row>
    <x:row r="84" ht="21" customHeight="1">
      <x:c r="A84" s="1"/>
      <x:c r="B84" s="1"/>
      <x:c r="C84" s="1"/>
      <x:c r="D84" s="1"/>
      <x:c r="E84" s="10" t="n">
        <x:v>0.10500000000000001</x:v>
      </x:c>
      <x:c r="F84" s="21" t="n">
        <x:f>((E$38/(1+$E84)^E$40+F$38/(1+$E84)^F$40+G$38/(1+$E84)^G$40+H$38/(1+$E84)^H$40+I$38/(1+$E84)^I$40+J$38/(1+$E84)^J$40+K$38/(1+$E84)^K$40)+($K$24*(1+F$81)*(1-F$81/'Assumptions'!$E$93)/($E84-F$81))/(1+$E84)^$K$40+$E$52-$E$53)/$E$55</x:f>
        <x:v>514.3016077065323</x:v>
      </x:c>
      <x:c r="G84" s="21" t="n">
        <x:f>((E$38/(1+$E84)^E$40+F$38/(1+$E84)^F$40+G$38/(1+$E84)^G$40+H$38/(1+$E84)^H$40+I$38/(1+$E84)^I$40+J$38/(1+$E84)^J$40+K$38/(1+$E84)^K$40)+($K$24*(1+G$81)*(1-G$81/'Assumptions'!$E$93)/($E84-G$81))/(1+$E84)^$K$40+$E$52-$E$53)/$E$55</x:f>
        <x:v>528.8497078706495</x:v>
      </x:c>
      <x:c r="H84" s="21" t="n">
        <x:f>((E$38/(1+$E84)^E$40+F$38/(1+$E84)^F$40+G$38/(1+$E84)^G$40+H$38/(1+$E84)^H$40+I$38/(1+$E84)^I$40+J$38/(1+$E84)^J$40+K$38/(1+$E84)^K$40)+($K$24*(1+H$81)*(1-H$81/'Assumptions'!$E$93)/($E84-H$81))/(1+$E84)^$K$40+$E$52-$E$53)/$E$55</x:f>
        <x:v>545.3637422087804</x:v>
      </x:c>
      <x:c r="I84" s="21" t="n">
        <x:f>((E$38/(1+$E84)^E$40+F$38/(1+$E84)^F$40+G$38/(1+$E84)^G$40+H$38/(1+$E84)^H$40+I$38/(1+$E84)^I$40+J$38/(1+$E84)^J$40+K$38/(1+$E84)^K$40)+($K$24*(1+I$81)*(1-I$81/'Assumptions'!$E$93)/($E84-I$81))/(1+$E84)^$K$40+$E$52-$E$53)/$E$55</x:f>
        <x:v>564.2973878380052</x:v>
      </x:c>
      <x:c r="J84" s="21" t="n">
        <x:f>((E$38/(1+$E84)^E$40+F$38/(1+$E84)^F$40+G$38/(1+$E84)^G$40+H$38/(1+$E84)^H$40+I$38/(1+$E84)^I$40+J$38/(1+$E84)^J$40+K$38/(1+$E84)^K$40)+($K$24*(1+J$81)*(1-J$81/'Assumptions'!$E$93)/($E84-J$81))/(1+$E84)^$K$40+$E$52-$E$53)/$E$55</x:f>
        <x:v>586.2555475810971</x:v>
      </x:c>
      <x:c r="K84" s="2"/>
      <x:c r="L84" s="2"/>
      <x:c r="M84" s="2"/>
      <x:c r="N84" s="2"/>
      <x:c r="O84" s="2"/>
      <x:c r="P84" s="2"/>
      <x:c r="Q84" s="1"/>
      <x:c r="R84" s="1"/>
    </x:row>
    <x:row r="85" ht="21" customHeight="1">
      <x:c r="A85" s="1"/>
      <x:c r="B85" s="1"/>
      <x:c r="C85" s="1"/>
      <x:c r="D85" s="1"/>
      <x:c r="E85" s="10" t="n">
        <x:v>0.115</x:v>
      </x:c>
      <x:c r="F85" s="21" t="n">
        <x:f>((E$38/(1+$E85)^E$40+F$38/(1+$E85)^F$40+G$38/(1+$E85)^G$40+H$38/(1+$E85)^H$40+I$38/(1+$E85)^I$40+J$38/(1+$E85)^J$40+K$38/(1+$E85)^K$40)+($K$24*(1+F$81)*(1-F$81/'Assumptions'!$E$93)/($E85-F$81))/(1+$E85)^$K$40+$E$52-$E$53)/$E$55</x:f>
        <x:v>449.77396219164484</x:v>
      </x:c>
      <x:c r="G85" s="21" t="n">
        <x:f>((E$38/(1+$E85)^E$40+F$38/(1+$E85)^F$40+G$38/(1+$E85)^G$40+H$38/(1+$E85)^H$40+I$38/(1+$E85)^I$40+J$38/(1+$E85)^J$40+K$38/(1+$E85)^K$40)+($K$24*(1+G$81)*(1-G$81/'Assumptions'!$E$93)/($E85-G$81))/(1+$E85)^$K$40+$E$52-$E$53)/$E$55</x:f>
        <x:v>459.66151443329204</x:v>
      </x:c>
      <x:c r="H85" s="21" t="n">
        <x:f>((E$38/(1+$E85)^E$40+F$38/(1+$E85)^F$40+G$38/(1+$E85)^G$40+H$38/(1+$E85)^H$40+I$38/(1+$E85)^I$40+J$38/(1+$E85)^J$40+K$38/(1+$E85)^K$40)+($K$24*(1+H$81)*(1-H$81/'Assumptions'!$E$93)/($E85-H$81))/(1+$E85)^$K$40+$E$52-$E$53)/$E$55</x:f>
        <x:v>470.69269953276466</x:v>
      </x:c>
      <x:c r="I85" s="21" t="n">
        <x:f>((E$38/(1+$E85)^E$40+F$38/(1+$E85)^F$40+G$38/(1+$E85)^G$40+H$38/(1+$E85)^H$40+I$38/(1+$E85)^I$40+J$38/(1+$E85)^J$40+K$38/(1+$E85)^K$40)+($K$24*(1+I$81)*(1-I$81/'Assumptions'!$E$93)/($E85-I$81))/(1+$E85)^$K$40+$E$52-$E$53)/$E$55</x:f>
        <x:v>483.0962440616276</x:v>
      </x:c>
      <x:c r="J85" s="21" t="n">
        <x:f>((E$38/(1+$E85)^E$40+F$38/(1+$E85)^F$40+G$38/(1+$E85)^G$40+H$38/(1+$E85)^H$40+I$38/(1+$E85)^I$40+J$38/(1+$E85)^J$40+K$38/(1+$E85)^K$40)+($K$24*(1+J$81)*(1-J$81/'Assumptions'!$E$93)/($E85-J$81))/(1+$E85)^$K$40+$E$52-$E$53)/$E$55</x:f>
        <x:v>497.16622504046467</x:v>
      </x:c>
      <x:c r="K85" s="2"/>
      <x:c r="L85" s="2"/>
      <x:c r="M85" s="2"/>
      <x:c r="N85" s="2"/>
      <x:c r="O85" s="2"/>
      <x:c r="P85" s="2"/>
      <x:c r="Q85" s="1"/>
      <x:c r="R85" s="1"/>
    </x:row>
    <x:row r="86" ht="21" customHeight="1">
      <x:c r="A86" s="1"/>
      <x:c r="B86" s="1"/>
      <x:c r="C86" s="1"/>
      <x:c r="D86" s="1"/>
      <x:c r="E86" s="10" t="n">
        <x:v>0.125</x:v>
      </x:c>
      <x:c r="F86" s="21" t="n">
        <x:f>((E$38/(1+$E86)^E$40+F$38/(1+$E86)^F$40+G$38/(1+$E86)^G$40+H$38/(1+$E86)^H$40+I$38/(1+$E86)^I$40+J$38/(1+$E86)^J$40+K$38/(1+$E86)^K$40)+($K$24*(1+F$81)*(1-F$81/'Assumptions'!$E$93)/($E86-F$81))/(1+$E86)^$K$40+$E$52-$E$53)/$E$55</x:f>
        <x:v>398.45159817629747</x:v>
      </x:c>
      <x:c r="G86" s="21" t="n">
        <x:f>((E$38/(1+$E86)^E$40+F$38/(1+$E86)^F$40+G$38/(1+$E86)^G$40+H$38/(1+$E86)^H$40+I$38/(1+$E86)^I$40+J$38/(1+$E86)^J$40+K$38/(1+$E86)^K$40)+($K$24*(1+G$81)*(1-G$81/'Assumptions'!$E$93)/($E86-G$81))/(1+$E86)^$K$40+$E$52-$E$53)/$E$55</x:f>
        <x:v>405.306906825124</x:v>
      </x:c>
      <x:c r="H86" s="21" t="n">
        <x:f>((E$38/(1+$E86)^E$40+F$38/(1+$E86)^F$40+G$38/(1+$E86)^G$40+H$38/(1+$E86)^H$40+I$38/(1+$E86)^I$40+J$38/(1+$E86)^J$40+K$38/(1+$E86)^K$40)+($K$24*(1+H$81)*(1-H$81/'Assumptions'!$E$93)/($E86-H$81))/(1+$E86)^$K$40+$E$52-$E$53)/$E$55</x:f>
        <x:v>412.84683351477884</x:v>
      </x:c>
      <x:c r="I86" s="21" t="n">
        <x:f>((E$38/(1+$E86)^E$40+F$38/(1+$E86)^F$40+G$38/(1+$E86)^G$40+H$38/(1+$E86)^H$40+I$38/(1+$E86)^I$40+J$38/(1+$E86)^J$40+K$38/(1+$E86)^K$40)+($K$24*(1+I$81)*(1-I$81/'Assumptions'!$E$93)/($E86-I$81))/(1+$E86)^$K$40+$E$52-$E$53)/$E$55</x:f>
        <x:v>421.1921931936433</x:v>
      </x:c>
      <x:c r="J86" s="21" t="n">
        <x:f>((E$38/(1+$E86)^E$40+F$38/(1+$E86)^F$40+G$38/(1+$E86)^G$40+H$38/(1+$E86)^H$40+I$38/(1+$E86)^I$40+J$38/(1+$E86)^J$40+K$38/(1+$E86)^K$40)+($K$24*(1+J$81)*(1-J$81/'Assumptions'!$E$93)/($E86-J$81))/(1+$E86)^$K$40+$E$52-$E$53)/$E$55</x:f>
        <x:v>430.4940045471941</x:v>
      </x:c>
      <x:c r="K86" s="2"/>
      <x:c r="L86" s="2"/>
      <x:c r="M86" s="2"/>
      <x:c r="N86" s="2"/>
      <x:c r="O86" s="2"/>
      <x:c r="P86" s="2"/>
      <x:c r="Q86" s="1"/>
      <x:c r="R86" s="1"/>
    </x:row>
    <x:row r="87" ht="21" customHeight="1">
      <x:c r="A87" s="1"/>
      <x:c r="B87" s="1"/>
      <x:c r="C87" s="1"/>
      <x:c r="D87" s="1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1"/>
      <x:c r="R87" s="1"/>
    </x:row>
    <x:row r="88" ht="21" customHeight="1">
      <x:c r="A88" s="1"/>
      <x:c r="B88" s="1"/>
      <x:c r="C88" s="1"/>
      <x:c r="D88" s="1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1"/>
      <x:c r="R88" s="1"/>
    </x:row>
    <x:row r="89" ht="21" customHeight="1">
      <x:c r="A89" s="1"/>
      <x:c r="B89" s="1"/>
      <x:c r="C89" s="1"/>
      <x:c r="D89" s="1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1"/>
      <x:c r="R89" s="1"/>
    </x:row>
    <x:row r="90" ht="21" customHeight="1">
      <x:c r="A90" s="1"/>
      <x:c r="B90" s="1"/>
      <x:c r="C90" s="1"/>
      <x:c r="D90" s="1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1"/>
      <x:c r="R90" s="1"/>
    </x:row>
    <x:row r="91" ht="21" customHeight="1">
      <x:c r="A91" s="1"/>
      <x:c r="B91" s="1"/>
      <x:c r="C91" s="1"/>
      <x:c r="D91" s="1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1"/>
      <x:c r="R91" s="1"/>
    </x:row>
    <x:row r="92" ht="21" customHeight="1">
      <x:c r="A92" s="1"/>
      <x:c r="B92" s="1"/>
      <x:c r="C92" s="1"/>
      <x:c r="D92" s="1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1"/>
      <x:c r="R92" s="1"/>
    </x:row>
    <x:row r="93" ht="21" customHeight="1">
      <x:c r="A93" s="1"/>
      <x:c r="B93" s="1"/>
      <x:c r="C93" s="1"/>
      <x:c r="D93" s="1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1"/>
      <x:c r="R93" s="1"/>
    </x:row>
    <x:row r="94" ht="21" customHeight="1">
      <x:c r="A94" s="1"/>
      <x:c r="B94" s="1"/>
      <x:c r="C94" s="1"/>
      <x:c r="D94" s="1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1"/>
      <x:c r="R94" s="1"/>
    </x:row>
    <x:row r="95" ht="21" customHeight="1">
      <x:c r="A95" s="1"/>
      <x:c r="B95" s="1"/>
      <x:c r="C95" s="1"/>
      <x:c r="D95" s="1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1"/>
      <x:c r="R95" s="1"/>
    </x:row>
    <x:row r="96" ht="21" customHeight="1">
      <x:c r="A96" s="1"/>
      <x:c r="B96" s="1"/>
      <x:c r="C96" s="1"/>
      <x:c r="D96" s="1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1"/>
      <x:c r="R96" s="1"/>
    </x:row>
    <x:row r="97" ht="21" customHeight="1">
      <x:c r="A97" s="1"/>
      <x:c r="B97" s="1"/>
      <x:c r="C97" s="1"/>
      <x:c r="D97" s="1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1"/>
      <x:c r="R97" s="1"/>
    </x:row>
    <x:row r="98" ht="21" customHeight="1">
      <x:c r="A98" s="1"/>
      <x:c r="B98" s="1"/>
      <x:c r="C98" s="1"/>
      <x:c r="D98" s="1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1"/>
      <x:c r="R98" s="1"/>
    </x:row>
    <x:row r="99" ht="21" customHeight="1">
      <x:c r="A99" s="1"/>
      <x:c r="B99" s="1"/>
      <x:c r="C99" s="1"/>
      <x:c r="D99" s="1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1"/>
      <x:c r="R99" s="1"/>
    </x:row>
    <x:row r="100" ht="21" customHeight="1">
      <x:c r="A100" s="1"/>
      <x:c r="B100" s="1"/>
      <x:c r="C100" s="1"/>
      <x:c r="D100" s="1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1"/>
      <x:c r="R100" s="1"/>
    </x:row>
    <x:row r="101" ht="21" customHeight="1">
      <x:c r="A101" s="1"/>
      <x:c r="B101" s="1"/>
      <x:c r="C101" s="1"/>
      <x:c r="D101" s="1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1"/>
      <x:c r="R101" s="1"/>
    </x:row>
    <x:row r="102" ht="21" customHeight="1">
      <x:c r="A102" s="1"/>
      <x:c r="B102" s="1"/>
      <x:c r="C102" s="1"/>
      <x:c r="D102" s="1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1"/>
      <x:c r="R102" s="1"/>
    </x:row>
    <x:row r="103" ht="21" customHeight="1">
      <x:c r="A103" s="1"/>
      <x:c r="B103" s="1"/>
      <x:c r="C103" s="1"/>
      <x:c r="D103" s="1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1"/>
      <x:c r="R103" s="1"/>
    </x:row>
    <x:row r="104" ht="21" customHeight="1">
      <x:c r="A104" s="1"/>
      <x:c r="B104" s="1"/>
      <x:c r="C104" s="1"/>
      <x:c r="D104" s="1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1"/>
      <x:c r="R104" s="1"/>
    </x:row>
    <x:row r="105" ht="21" customHeight="1">
      <x:c r="A105" s="1"/>
      <x:c r="B105" s="1"/>
      <x:c r="C105" s="1"/>
      <x:c r="D105" s="1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1"/>
      <x:c r="R105" s="1"/>
    </x:row>
    <x:row r="106" ht="21" customHeight="1">
      <x:c r="A106" s="1"/>
      <x:c r="B106" s="1"/>
      <x:c r="C106" s="1"/>
      <x:c r="D106" s="1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1"/>
      <x:c r="R106" s="1"/>
    </x:row>
    <x:row r="107" ht="21" customHeight="1">
      <x:c r="A107" s="1"/>
      <x:c r="B107" s="1"/>
      <x:c r="C107" s="1"/>
      <x:c r="D107" s="1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1"/>
      <x:c r="R107" s="1"/>
    </x:row>
    <x:row r="108" ht="21" customHeight="1">
      <x:c r="A108" s="1"/>
      <x:c r="B108" s="1"/>
      <x:c r="C108" s="1"/>
      <x:c r="D108" s="1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1"/>
      <x:c r="R108" s="1"/>
    </x:row>
    <x:row r="109" ht="21" customHeight="1">
      <x:c r="A109" s="1"/>
      <x:c r="B109" s="1"/>
      <x:c r="C109" s="1"/>
      <x:c r="D109" s="1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1"/>
      <x:c r="R109" s="1"/>
    </x:row>
    <x:row r="110" ht="21" customHeight="1">
      <x:c r="A110" s="1"/>
      <x:c r="B110" s="1"/>
      <x:c r="C110" s="1"/>
      <x:c r="D110" s="1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1"/>
      <x:c r="R110" s="1"/>
    </x:row>
    <x:row r="111" ht="21" customHeight="1">
      <x:c r="A111" s="1"/>
      <x:c r="B111" s="1"/>
      <x:c r="C111" s="1"/>
      <x:c r="D111" s="1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1"/>
      <x:c r="R111" s="1"/>
    </x:row>
    <x:row r="112" ht="21" customHeight="1">
      <x:c r="A112" s="1"/>
      <x:c r="B112" s="1"/>
      <x:c r="C112" s="1"/>
      <x:c r="D112" s="1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1"/>
      <x:c r="R112" s="1"/>
    </x:row>
    <x:row r="113" ht="21" customHeight="1">
      <x:c r="A113" s="1"/>
      <x:c r="B113" s="1"/>
      <x:c r="C113" s="1"/>
      <x:c r="D113" s="1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1"/>
      <x:c r="R113" s="1"/>
    </x:row>
    <x:row r="114" ht="21" customHeight="1">
      <x:c r="A114" s="1"/>
      <x:c r="B114" s="1"/>
      <x:c r="C114" s="1"/>
      <x:c r="D114" s="1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1"/>
      <x:c r="R114" s="1"/>
    </x:row>
    <x:row r="115" ht="21" customHeight="1">
      <x:c r="A115" s="1"/>
      <x:c r="B115" s="1"/>
      <x:c r="C115" s="1"/>
      <x:c r="D115" s="1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1"/>
      <x:c r="R115" s="1"/>
    </x:row>
    <x:row r="116" ht="21" customHeight="1">
      <x:c r="A116" s="1"/>
      <x:c r="B116" s="1"/>
      <x:c r="C116" s="1"/>
      <x:c r="D116" s="1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1"/>
      <x:c r="R116" s="1"/>
    </x:row>
    <x:row r="117" ht="21" customHeight="1">
      <x:c r="A117" s="1"/>
      <x:c r="B117" s="1"/>
      <x:c r="C117" s="1"/>
      <x:c r="D117" s="1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1"/>
      <x:c r="R117" s="1"/>
    </x:row>
    <x:row r="118" ht="21" customHeight="1">
      <x:c r="A118" s="1"/>
      <x:c r="B118" s="1"/>
      <x:c r="C118" s="1"/>
      <x:c r="D118" s="1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1"/>
      <x:c r="R118" s="1"/>
    </x:row>
    <x:row r="119" ht="21" customHeight="1">
      <x:c r="A119" s="1"/>
      <x:c r="B119" s="1"/>
      <x:c r="C119" s="1"/>
      <x:c r="D119" s="1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1"/>
      <x:c r="R119" s="1"/>
    </x:row>
    <x:row r="120" ht="21" customHeight="1">
      <x:c r="A120" s="1"/>
      <x:c r="B120" s="1"/>
      <x:c r="C120" s="1"/>
      <x:c r="D120" s="1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1"/>
      <x:c r="R120" s="1"/>
    </x:row>
    <x:row r="121" ht="21" customHeight="1">
      <x:c r="A121" s="1"/>
      <x:c r="B121" s="1"/>
      <x:c r="C121" s="1"/>
      <x:c r="D121" s="1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1"/>
      <x:c r="R121" s="1"/>
    </x:row>
    <x:row r="122" ht="21" customHeight="1">
      <x:c r="A122" s="1"/>
      <x:c r="B122" s="1"/>
      <x:c r="C122" s="1"/>
      <x:c r="D122" s="1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1"/>
      <x:c r="R122" s="1"/>
    </x:row>
    <x:row r="123" ht="21" customHeight="1">
      <x:c r="A123" s="1"/>
      <x:c r="B123" s="1"/>
      <x:c r="C123" s="1"/>
      <x:c r="D123" s="1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1"/>
      <x:c r="R123" s="1"/>
    </x:row>
    <x:row r="124" ht="21" customHeight="1">
      <x:c r="A124" s="1"/>
      <x:c r="B124" s="1"/>
      <x:c r="C124" s="1"/>
      <x:c r="D124" s="1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1"/>
      <x:c r="R124" s="1"/>
    </x:row>
    <x:row r="125" ht="21" customHeight="1">
      <x:c r="A125" s="1"/>
      <x:c r="B125" s="1"/>
      <x:c r="C125" s="1"/>
      <x:c r="D125" s="1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1"/>
      <x:c r="R125" s="1"/>
    </x:row>
    <x:row r="126" ht="21" customHeight="1">
      <x:c r="A126" s="1"/>
      <x:c r="B126" s="1"/>
      <x:c r="C126" s="1"/>
      <x:c r="D126" s="1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1"/>
      <x:c r="R126" s="1"/>
    </x:row>
    <x:row r="127" ht="21" customHeight="1">
      <x:c r="A127" s="1"/>
      <x:c r="B127" s="1"/>
      <x:c r="C127" s="1"/>
      <x:c r="D127" s="1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1"/>
      <x:c r="R127" s="1"/>
    </x:row>
    <x:row r="128" ht="21" customHeight="1">
      <x:c r="A128" s="1"/>
      <x:c r="B128" s="1"/>
      <x:c r="C128" s="1"/>
      <x:c r="D128" s="1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1"/>
      <x:c r="R128" s="1"/>
    </x:row>
    <x:row r="129" ht="21" customHeight="1">
      <x:c r="A129" s="1"/>
      <x:c r="B129" s="1"/>
      <x:c r="C129" s="1"/>
      <x:c r="D129" s="1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1"/>
      <x:c r="R129" s="1"/>
    </x:row>
    <x:row r="130" ht="21" customHeight="1">
      <x:c r="A130" s="1"/>
      <x:c r="B130" s="1"/>
      <x:c r="C130" s="1"/>
      <x:c r="D130" s="1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1"/>
      <x:c r="R130" s="1"/>
    </x:row>
    <x:row r="131" ht="21" customHeight="1">
      <x:c r="A131" s="1"/>
      <x:c r="B131" s="1"/>
      <x:c r="C131" s="1"/>
      <x:c r="D131" s="1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1"/>
      <x:c r="R131" s="1"/>
    </x:row>
    <x:row r="132" ht="21" customHeight="1">
      <x:c r="A132" s="1"/>
      <x:c r="B132" s="1"/>
      <x:c r="C132" s="1"/>
      <x:c r="D132" s="1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1"/>
      <x:c r="R132" s="1"/>
    </x:row>
    <x:row r="133" ht="21" customHeight="1">
      <x:c r="A133" s="1"/>
      <x:c r="B133" s="1"/>
      <x:c r="C133" s="1"/>
      <x:c r="D133" s="1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1"/>
      <x:c r="R133" s="1"/>
    </x:row>
    <x:row r="134" ht="21" customHeight="1">
      <x:c r="A134" s="1"/>
      <x:c r="B134" s="1"/>
      <x:c r="C134" s="1"/>
      <x:c r="D134" s="1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1"/>
      <x:c r="R134" s="1"/>
    </x:row>
    <x:row r="135" ht="21" customHeight="1">
      <x:c r="A135" s="1"/>
      <x:c r="B135" s="1"/>
      <x:c r="C135" s="1"/>
      <x:c r="D135" s="1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1"/>
      <x:c r="R135" s="1"/>
    </x:row>
    <x:row r="136" ht="21" customHeight="1">
      <x:c r="A136" s="1"/>
      <x:c r="B136" s="1"/>
      <x:c r="C136" s="1"/>
      <x:c r="D136" s="1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1"/>
      <x:c r="R136" s="1"/>
    </x:row>
    <x:row r="137" ht="21" customHeight="1">
      <x:c r="A137" s="1"/>
      <x:c r="B137" s="1"/>
      <x:c r="C137" s="1"/>
      <x:c r="D137" s="1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1"/>
      <x:c r="R137" s="1"/>
    </x:row>
    <x:row r="138" ht="21" customHeight="1">
      <x:c r="A138" s="1"/>
      <x:c r="B138" s="1"/>
      <x:c r="C138" s="1"/>
      <x:c r="D138" s="1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1"/>
      <x:c r="R138" s="1"/>
    </x:row>
    <x:row r="139" ht="21" customHeight="1">
      <x:c r="A139" s="1"/>
      <x:c r="B139" s="1"/>
      <x:c r="C139" s="1"/>
      <x:c r="D139" s="1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1"/>
      <x:c r="R139" s="1"/>
    </x:row>
    <x:row r="140" ht="21" customHeight="1">
      <x:c r="A140" s="1"/>
      <x:c r="B140" s="1"/>
      <x:c r="C140" s="1"/>
      <x:c r="D140" s="1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1"/>
      <x:c r="R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1" hidden="0" customWidth="1"/>
    <x:col min="4" max="4" width="3" hidden="0" customWidth="1"/>
    <x:col min="5" max="5" width="14" hidden="0" customWidth="1"/>
    <x:col min="6" max="6" width="14" hidden="0" customWidth="1"/>
    <x:col min="7" max="7" width="14" hidden="0" customWidth="1"/>
    <x:col min="8" max="8" width="100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1" customHeight="1">
      <x:c r="A2" s="1"/>
      <x:c r="B2" s="1"/>
      <x:c r="C2" s="3" t="str">
        <x:v>Lumentum | Comps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1"/>
      <x:c r="R2" s="1"/>
    </x:row>
    <x:row r="3" ht="21" customHeight="1">
      <x:c r="A3" s="1"/>
      <x:c r="B3" s="1"/>
      <x:c r="C3" s="1" t="str">
        <x:v>USD millions, except EPS and share prices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1" customHeight="1">
      <x:c r="A4" s="1"/>
      <x:c r="B4" s="1"/>
      <x:c r="C4" s="1" t="str">
        <x:v>Case selected</x:v>
      </x:c>
      <x:c r="D4" s="1"/>
      <x:c r="E4" s="40" t="str">
        <x:f>'Assumptions'!F4</x:f>
        <x:v>Base</x:v>
      </x:c>
      <x:c r="F4" s="4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23" customHeight="1">
      <x:c r="A6" s="1"/>
      <x:c r="B6" s="1"/>
      <x:c r="C6" s="8" t="str">
        <x:v>Peer comparison at September 17, 2026</x:v>
      </x:c>
      <x:c r="D6" s="8"/>
      <x:c r="E6" s="9"/>
      <x:c r="F6" s="9"/>
      <x:c r="G6" s="9"/>
      <x:c r="H6" s="9"/>
      <x:c r="I6" s="9"/>
      <x:c r="J6" s="9"/>
      <x:c r="K6" s="9"/>
      <x:c r="L6" s="2"/>
      <x:c r="M6" s="2"/>
      <x:c r="N6" s="2"/>
      <x:c r="O6" s="2"/>
      <x:c r="P6" s="2"/>
      <x:c r="Q6" s="1"/>
      <x:c r="R6" s="1"/>
    </x:row>
    <x:row r="7" ht="21" customHeight="1">
      <x:c r="A7" s="1"/>
      <x:c r="B7" s="1"/>
      <x:c r="C7" s="1"/>
      <x:c r="D7" s="1"/>
      <x:c r="E7" s="2" t="str">
        <x:v>LITE</x:v>
      </x:c>
      <x:c r="F7" s="2" t="str">
        <x:v>COHR</x:v>
      </x:c>
      <x:c r="G7" s="2" t="str">
        <x:v>FN</x:v>
      </x:c>
      <x:c r="H7" s="2"/>
      <x:c r="I7" s="2"/>
      <x:c r="J7" s="2"/>
      <x:c r="K7" s="2"/>
      <x:c r="L7" s="2"/>
      <x:c r="M7" s="2"/>
      <x:c r="N7" s="2"/>
      <x:c r="O7" s="2"/>
      <x:c r="P7" s="2"/>
      <x:c r="Q7" s="1"/>
      <x:c r="R7" s="1"/>
    </x:row>
    <x:row r="8" ht="21" customHeight="1">
      <x:c r="A8" s="1"/>
      <x:c r="B8" s="1"/>
      <x:c r="C8" s="1" t="str">
        <x:v>Share price</x:v>
      </x:c>
      <x:c r="D8" s="1"/>
      <x:c r="E8" s="33" t="n">
        <x:v>893.61</x:v>
      </x:c>
      <x:c r="F8" s="33" t="n">
        <x:v>295.98</x:v>
      </x:c>
      <x:c r="G8" s="33" t="n">
        <x:v>380.92</x:v>
      </x:c>
      <x:c r="H8" s="2"/>
      <x:c r="I8" s="2"/>
      <x:c r="J8" s="2"/>
      <x:c r="K8" s="2"/>
      <x:c r="L8" s="2"/>
      <x:c r="M8" s="2"/>
      <x:c r="N8" s="2"/>
      <x:c r="O8" s="2"/>
      <x:c r="P8" s="2"/>
      <x:c r="Q8" s="1"/>
      <x:c r="R8" s="1"/>
    </x:row>
    <x:row r="9" ht="21" customHeight="1">
      <x:c r="A9" s="1"/>
      <x:c r="B9" s="1"/>
      <x:c r="C9" s="1" t="str">
        <x:v>FY27 adjusted EPS consensus</x:v>
      </x:c>
      <x:c r="D9" s="1"/>
      <x:c r="E9" s="33" t="n">
        <x:v>21.67</x:v>
      </x:c>
      <x:c r="F9" s="33" t="n">
        <x:v>9.42</x:v>
      </x:c>
      <x:c r="G9" s="33" t="n">
        <x:v>18.16</x:v>
      </x:c>
      <x:c r="H9" s="2"/>
      <x:c r="I9" s="2"/>
      <x:c r="J9" s="2"/>
      <x:c r="K9" s="2"/>
      <x:c r="L9" s="2"/>
      <x:c r="M9" s="2"/>
      <x:c r="N9" s="2"/>
      <x:c r="O9" s="2"/>
      <x:c r="P9" s="2"/>
      <x:c r="Q9" s="1"/>
      <x:c r="R9" s="1"/>
    </x:row>
    <x:row r="10" ht="21" customHeight="1">
      <x:c r="A10" s="1"/>
      <x:c r="B10" s="1"/>
      <x:c r="C10" s="1" t="str">
        <x:v>FY26 revenue</x:v>
      </x:c>
      <x:c r="D10" s="1"/>
      <x:c r="E10" s="14" t="n">
        <x:v>3014</x:v>
      </x:c>
      <x:c r="F10" s="14" t="n">
        <x:v>7118.2</x:v>
      </x:c>
      <x:c r="G10" s="14" t="n">
        <x:v>4641.097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1"/>
      <x:c r="R10" s="1"/>
    </x:row>
    <x:row r="11" ht="21" customHeight="1">
      <x:c r="A11" s="1"/>
      <x:c r="B11" s="1"/>
      <x:c r="C11" s="1" t="str">
        <x:v>FY26 CFO</x:v>
      </x:c>
      <x:c r="D11" s="1"/>
      <x:c r="E11" s="14" t="n">
        <x:v>751.4</x:v>
      </x:c>
      <x:c r="F11" s="14" t="n">
        <x:v>79.5</x:v>
      </x:c>
      <x:c r="G11" s="14" t="n">
        <x:v>256.725</x:v>
      </x:c>
      <x:c r="H11" s="2"/>
      <x:c r="I11" s="2"/>
      <x:c r="J11" s="2"/>
      <x:c r="K11" s="2"/>
      <x:c r="L11" s="2"/>
      <x:c r="M11" s="2"/>
      <x:c r="N11" s="2"/>
      <x:c r="O11" s="2"/>
      <x:c r="P11" s="2"/>
      <x:c r="Q11" s="1"/>
      <x:c r="R11" s="1"/>
    </x:row>
    <x:row r="12" ht="21" customHeight="1">
      <x:c r="A12" s="1"/>
      <x:c r="B12" s="1"/>
      <x:c r="C12" s="1" t="str">
        <x:v>FY26 cash capex</x:v>
      </x:c>
      <x:c r="D12" s="1"/>
      <x:c r="E12" s="14" t="n">
        <x:v>451.3</x:v>
      </x:c>
      <x:c r="F12" s="14" t="n">
        <x:v>1102.9</x:v>
      </x:c>
      <x:c r="G12" s="14" t="n">
        <x:v>252.503</x:v>
      </x:c>
      <x:c r="H12" s="2"/>
      <x:c r="I12" s="2"/>
      <x:c r="J12" s="2"/>
      <x:c r="K12" s="2"/>
      <x:c r="L12" s="2"/>
      <x:c r="M12" s="2"/>
      <x:c r="N12" s="2"/>
      <x:c r="O12" s="2"/>
      <x:c r="P12" s="2"/>
      <x:c r="Q12" s="1"/>
      <x:c r="R12" s="1"/>
    </x:row>
    <x:row r="13" ht="21" customHeight="1">
      <x:c r="A13" s="1"/>
      <x:c r="B13" s="1"/>
      <x:c r="C13" s="1" t="str">
        <x:v>Cash + short-term investments</x:v>
      </x:c>
      <x:c r="D13" s="1"/>
      <x:c r="E13" s="14" t="n">
        <x:v>2738.4</x:v>
      </x:c>
      <x:c r="F13" s="14" t="n">
        <x:v>1987</x:v>
      </x:c>
      <x:c r="G13" s="14" t="n">
        <x:v>875.055</x:v>
      </x:c>
      <x:c r="H13" s="2"/>
      <x:c r="I13" s="2"/>
      <x:c r="J13" s="2"/>
      <x:c r="K13" s="2"/>
      <x:c r="L13" s="2"/>
      <x:c r="M13" s="2"/>
      <x:c r="N13" s="2"/>
      <x:c r="O13" s="2"/>
      <x:c r="P13" s="2"/>
      <x:c r="Q13" s="1"/>
      <x:c r="R13" s="1"/>
    </x:row>
    <x:row r="14" ht="21" customHeight="1">
      <x:c r="A14" s="1"/>
      <x:c r="B14" s="1"/>
      <x:c r="C14" s="1" t="str">
        <x:v>Debt (excluding leases)</x:v>
      </x:c>
      <x:c r="D14" s="1"/>
      <x:c r="E14" s="14" t="n">
        <x:v>1637.4</x:v>
      </x:c>
      <x:c r="F14" s="14" t="n">
        <x:v>3222.2</x:v>
      </x:c>
      <x:c r="G14" s="14" t="n">
        <x:v>0</x:v>
      </x:c>
      <x:c r="H14" s="2"/>
      <x:c r="I14" s="2"/>
      <x:c r="J14" s="2"/>
      <x:c r="K14" s="2"/>
      <x:c r="L14" s="2"/>
      <x:c r="M14" s="2"/>
      <x:c r="N14" s="2"/>
      <x:c r="O14" s="2"/>
      <x:c r="P14" s="2"/>
      <x:c r="Q14" s="1"/>
      <x:c r="R14" s="1"/>
    </x:row>
    <x:row r="15" ht="21" customHeight="1">
      <x:c r="A15" s="1"/>
      <x:c r="B15" s="1"/>
      <x:c r="C15" s="1"/>
      <x:c r="D15" s="1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1"/>
      <x:c r="R15" s="1"/>
    </x:row>
    <x:row r="16" ht="21" customHeight="1">
      <x:c r="A16" s="1"/>
      <x:c r="B16" s="1"/>
      <x:c r="C16" s="1" t="str">
        <x:v>Price / FY27 adjusted EPS</x:v>
      </x:c>
      <x:c r="D16" s="1"/>
      <x:c r="E16" s="13" t="n">
        <x:f>E8/E9</x:f>
        <x:v>41.23719427780341</x:v>
      </x:c>
      <x:c r="F16" s="13" t="n">
        <x:f>F8/F9</x:f>
        <x:v>31.420382165605098</x:v>
      </x:c>
      <x:c r="G16" s="13" t="n">
        <x:f>G8/G9</x:f>
        <x:v>20.975770925110133</x:v>
      </x:c>
      <x:c r="H16" s="2"/>
      <x:c r="I16" s="2"/>
      <x:c r="J16" s="2"/>
      <x:c r="K16" s="2"/>
      <x:c r="L16" s="2"/>
      <x:c r="M16" s="2"/>
      <x:c r="N16" s="2"/>
      <x:c r="O16" s="2"/>
      <x:c r="P16" s="2"/>
      <x:c r="Q16" s="1"/>
      <x:c r="R16" s="1"/>
    </x:row>
    <x:row r="17" ht="21" customHeight="1">
      <x:c r="A17" s="1"/>
      <x:c r="B17" s="1"/>
      <x:c r="C17" s="1" t="str">
        <x:v>Reported CFO less cash capex</x:v>
      </x:c>
      <x:c r="D17" s="1"/>
      <x:c r="E17" s="13" t="n">
        <x:f>E11-E12</x:f>
        <x:v>300.09999999999997</x:v>
      </x:c>
      <x:c r="F17" s="13" t="n">
        <x:f>F11-F12</x:f>
        <x:v>-1023.4000000000001</x:v>
      </x:c>
      <x:c r="G17" s="13" t="n">
        <x:f>G11-G12</x:f>
        <x:v>4.222000000000037</x:v>
      </x:c>
      <x:c r="H17" s="2"/>
      <x:c r="I17" s="2"/>
      <x:c r="J17" s="2"/>
      <x:c r="K17" s="2"/>
      <x:c r="L17" s="2"/>
      <x:c r="M17" s="2"/>
      <x:c r="N17" s="2"/>
      <x:c r="O17" s="2"/>
      <x:c r="P17" s="2"/>
      <x:c r="Q17" s="1"/>
      <x:c r="R17" s="1"/>
    </x:row>
    <x:row r="18" ht="21" customHeight="1">
      <x:c r="A18" s="1"/>
      <x:c r="B18" s="1"/>
      <x:c r="C18" s="1" t="str">
        <x:v>Net cash (debt)</x:v>
      </x:c>
      <x:c r="D18" s="1"/>
      <x:c r="E18" s="13" t="n">
        <x:f>E13-E14</x:f>
        <x:v>1101</x:v>
      </x:c>
      <x:c r="F18" s="13" t="n">
        <x:f>F13-F14</x:f>
        <x:v>-1235.1999999999998</x:v>
      </x:c>
      <x:c r="G18" s="13" t="n">
        <x:f>G13-G14</x:f>
        <x:v>875.055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1"/>
      <x:c r="R18" s="1"/>
    </x:row>
    <x:row r="19" ht="21" customHeight="1">
      <x:c r="A19" s="1"/>
      <x:c r="B19" s="1"/>
      <x:c r="C19" s="1"/>
      <x:c r="D19" s="1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1"/>
      <x:c r="R19" s="1"/>
    </x:row>
    <x:row r="20" ht="21" customHeight="1">
      <x:c r="A20" s="1"/>
      <x:c r="B20" s="1"/>
      <x:c r="C20" s="1"/>
      <x:c r="D20" s="1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1"/>
      <x:c r="R20" s="1"/>
    </x:row>
    <x:row r="21" ht="21" customHeight="1">
      <x:c r="A21" s="1"/>
      <x:c r="B21" s="1"/>
      <x:c r="C21" s="11" t="str">
        <x:v>Consensus is an August snapshot. Different growth, accounting and business mix prevent equal-multiple assumptions.</x:v>
      </x:c>
      <x:c r="D21" s="11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"/>
      <x:c r="R21" s="1"/>
    </x:row>
    <x:row r="22" ht="21" customHeight="1">
      <x:c r="A22" s="1"/>
      <x:c r="B22" s="1"/>
      <x:c r="C22" s="1"/>
      <x:c r="D22" s="1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1"/>
      <x:c r="R22" s="1"/>
    </x:row>
    <x:row r="23" ht="21" customHeight="1">
      <x:c r="A23" s="1"/>
      <x:c r="B23" s="1"/>
      <x:c r="C23" s="1"/>
      <x:c r="D23" s="1"/>
      <x:c r="E23" s="2"/>
      <x:c r="F23" s="2"/>
      <x:c r="G23" s="2"/>
      <x:c r="H23" s="2" t="str">
        <x:v>Sources</x:v>
      </x:c>
      <x:c r="I23" s="2"/>
      <x:c r="J23" s="2"/>
      <x:c r="K23" s="2"/>
      <x:c r="L23" s="2"/>
      <x:c r="M23" s="2"/>
      <x:c r="N23" s="2"/>
      <x:c r="O23" s="2"/>
      <x:c r="P23" s="2"/>
      <x:c r="Q23" s="1"/>
      <x:c r="R23" s="1"/>
    </x:row>
    <x:row r="24" ht="21" customHeight="1">
      <x:c r="A24" s="1"/>
      <x:c r="B24" s="1"/>
      <x:c r="C24" s="1"/>
      <x:c r="D24" s="1"/>
      <x:c r="E24" s="2"/>
      <x:c r="F24" s="2"/>
      <x:c r="G24" s="2"/>
      <x:c r="H24" s="2" t="str">
        <x:v>https://investor.lumentum.com/financial-news-releases/news-details/2026/Lumentum-Announces-Fourth-Quarter-and-Full-Fiscal-Year-2026-Results/default.aspx</x:v>
      </x:c>
      <x:c r="I24" s="2"/>
      <x:c r="J24" s="2"/>
      <x:c r="K24" s="2"/>
      <x:c r="L24" s="2"/>
      <x:c r="M24" s="2"/>
      <x:c r="N24" s="2"/>
      <x:c r="O24" s="2"/>
      <x:c r="P24" s="2"/>
      <x:c r="Q24" s="1"/>
      <x:c r="R24" s="1"/>
    </x:row>
    <x:row r="25" ht="21" customHeight="1">
      <x:c r="A25" s="1"/>
      <x:c r="B25" s="1"/>
      <x:c r="C25" s="1"/>
      <x:c r="D25" s="1"/>
      <x:c r="E25" s="2"/>
      <x:c r="F25" s="2"/>
      <x:c r="G25" s="2"/>
      <x:c r="H25" s="2" t="str">
        <x:v>https://ir.coherent.com/news-releases/news-release-details/coherent-corp-reports-fourth-quarter-and-full-year-fiscal-2026</x:v>
      </x:c>
      <x:c r="I25" s="2"/>
      <x:c r="J25" s="2"/>
      <x:c r="K25" s="2"/>
      <x:c r="L25" s="2"/>
      <x:c r="M25" s="2"/>
      <x:c r="N25" s="2"/>
      <x:c r="O25" s="2"/>
      <x:c r="P25" s="2"/>
      <x:c r="Q25" s="1"/>
      <x:c r="R25" s="1"/>
    </x:row>
    <x:row r="26" ht="21" customHeight="1">
      <x:c r="A26" s="1"/>
      <x:c r="B26" s="1"/>
      <x:c r="C26" s="1"/>
      <x:c r="D26" s="1"/>
      <x:c r="E26" s="2"/>
      <x:c r="F26" s="2"/>
      <x:c r="G26" s="2"/>
      <x:c r="H26" s="2" t="str">
        <x:v>https://investor.fabrinet.com/news-releases/news-release-details/fabrinet-announces-fourth-quarter-and-fiscal-year-2026-financial</x:v>
      </x:c>
      <x:c r="I26" s="2"/>
      <x:c r="J26" s="2"/>
      <x:c r="K26" s="2"/>
      <x:c r="L26" s="2"/>
      <x:c r="M26" s="2"/>
      <x:c r="N26" s="2"/>
      <x:c r="O26" s="2"/>
      <x:c r="P26" s="2"/>
      <x:c r="Q26" s="1"/>
      <x:c r="R26" s="1"/>
    </x:row>
    <x:row r="27" ht="21" customHeight="1">
      <x:c r="A27" s="1"/>
      <x:c r="B27" s="1"/>
      <x:c r="C27" s="1"/>
      <x:c r="D27" s="1"/>
      <x:c r="E27" s="2"/>
      <x:c r="F27" s="2"/>
      <x:c r="G27" s="2"/>
      <x:c r="H27" s="2" t="str">
        <x:v>https://stockanalysis.com/stocks/lite/forecast/</x:v>
      </x:c>
      <x:c r="I27" s="2"/>
      <x:c r="J27" s="2"/>
      <x:c r="K27" s="2"/>
      <x:c r="L27" s="2"/>
      <x:c r="M27" s="2"/>
      <x:c r="N27" s="2"/>
      <x:c r="O27" s="2"/>
      <x:c r="P27" s="2"/>
      <x:c r="Q27" s="1"/>
      <x:c r="R27" s="1"/>
    </x:row>
    <x:row r="28" ht="21" customHeight="1">
      <x:c r="A28" s="1"/>
      <x:c r="B28" s="1"/>
      <x:c r="C28" s="1"/>
      <x:c r="D28" s="1"/>
      <x:c r="E28" s="2"/>
      <x:c r="F28" s="2"/>
      <x:c r="G28" s="2"/>
      <x:c r="H28" s="2" t="str">
        <x:v>https://stockanalysis.com/stocks/cohr/forecast/</x:v>
      </x:c>
      <x:c r="I28" s="2"/>
      <x:c r="J28" s="2"/>
      <x:c r="K28" s="2"/>
      <x:c r="L28" s="2"/>
      <x:c r="M28" s="2"/>
      <x:c r="N28" s="2"/>
      <x:c r="O28" s="2"/>
      <x:c r="P28" s="2"/>
      <x:c r="Q28" s="1"/>
      <x:c r="R28" s="1"/>
    </x:row>
    <x:row r="29" ht="21" customHeight="1">
      <x:c r="A29" s="1"/>
      <x:c r="B29" s="1"/>
      <x:c r="C29" s="1"/>
      <x:c r="D29" s="1"/>
      <x:c r="E29" s="2"/>
      <x:c r="F29" s="2"/>
      <x:c r="G29" s="2"/>
      <x:c r="H29" s="2" t="str">
        <x:v>https://stockanalysis.com/stocks/fn/forecast/</x:v>
      </x:c>
      <x:c r="I29" s="2"/>
      <x:c r="J29" s="2"/>
      <x:c r="K29" s="2"/>
      <x:c r="L29" s="2"/>
      <x:c r="M29" s="2"/>
      <x:c r="N29" s="2"/>
      <x:c r="O29" s="2"/>
      <x:c r="P29" s="2"/>
      <x:c r="Q29" s="1"/>
      <x:c r="R29" s="1"/>
    </x:row>
    <x:row r="30" ht="21" customHeight="1">
      <x:c r="A30" s="1"/>
      <x:c r="B30" s="1"/>
      <x:c r="C30" s="1"/>
      <x:c r="D30" s="1"/>
      <x:c r="E30" s="2"/>
      <x:c r="F30" s="2"/>
      <x:c r="G30" s="2"/>
      <x:c r="H30" s="2" t="str">
        <x:v>https://stockanalysis.com/stocks/fn/history/</x:v>
      </x:c>
      <x:c r="I30" s="2"/>
      <x:c r="J30" s="2"/>
      <x:c r="K30" s="2"/>
      <x:c r="L30" s="2"/>
      <x:c r="M30" s="2"/>
      <x:c r="N30" s="2"/>
      <x:c r="O30" s="2"/>
      <x:c r="P30" s="2"/>
      <x:c r="Q30" s="1"/>
      <x:c r="R30" s="1"/>
    </x:row>
    <x:row r="31" ht="21" customHeight="1">
      <x:c r="A31" s="1"/>
      <x:c r="B31" s="1"/>
      <x:c r="C31" s="1"/>
      <x:c r="D31" s="1"/>
      <x:c r="E31" s="2"/>
      <x:c r="F31" s="2"/>
      <x:c r="G31" s="2"/>
      <x:c r="H31" s="2" t="str">
        <x:v>https://stockanalysis.com/stocks/cohr/history/</x:v>
      </x:c>
      <x:c r="I31" s="2"/>
      <x:c r="J31" s="2"/>
      <x:c r="K31" s="2"/>
      <x:c r="L31" s="2"/>
      <x:c r="M31" s="2"/>
      <x:c r="N31" s="2"/>
      <x:c r="O31" s="2"/>
      <x:c r="P31" s="2"/>
      <x:c r="Q31" s="1"/>
      <x:c r="R31" s="1"/>
    </x:row>
    <x:row r="32" ht="21" customHeight="1">
      <x:c r="A32" s="1"/>
      <x:c r="B32" s="1"/>
      <x:c r="C32" s="1"/>
      <x:c r="D32" s="1"/>
      <x:c r="E32" s="2"/>
      <x:c r="F32" s="2"/>
      <x:c r="G32" s="2"/>
      <x:c r="H32" s="2" t="str">
        <x:v>https://stockanalysis.com/stocks/lite/history/</x:v>
      </x:c>
      <x:c r="I32" s="2"/>
      <x:c r="J32" s="2"/>
      <x:c r="K32" s="2"/>
      <x:c r="L32" s="2"/>
      <x:c r="M32" s="2"/>
      <x:c r="N32" s="2"/>
      <x:c r="O32" s="2"/>
      <x:c r="P32" s="2"/>
      <x:c r="Q32" s="1"/>
      <x:c r="R32" s="1"/>
    </x:row>
    <x:row r="33" ht="21" customHeight="1">
      <x:c r="A33" s="1"/>
      <x:c r="B33" s="1"/>
      <x:c r="C33" s="1"/>
      <x:c r="D33" s="1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1"/>
      <x:c r="R33" s="1"/>
    </x:row>
    <x:row r="34" ht="21" customHeight="1">
      <x:c r="A34" s="1"/>
      <x:c r="B34" s="1"/>
      <x:c r="C34" s="1"/>
      <x:c r="D34" s="1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1"/>
      <x:c r="R34" s="1"/>
    </x:row>
    <x:row r="35" ht="21" customHeight="1">
      <x:c r="A35" s="1"/>
      <x:c r="B35" s="1"/>
      <x:c r="C35" s="1"/>
      <x:c r="D35" s="1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1"/>
      <x:c r="R35" s="1"/>
    </x:row>
    <x:row r="36" ht="21" customHeight="1">
      <x:c r="A36" s="1"/>
      <x:c r="B36" s="1"/>
      <x:c r="C36" s="1"/>
      <x:c r="D36" s="1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1"/>
      <x:c r="R36" s="1"/>
    </x:row>
    <x:row r="37" ht="21" customHeight="1">
      <x:c r="A37" s="1"/>
      <x:c r="B37" s="1"/>
      <x:c r="C37" s="1"/>
      <x:c r="D37" s="1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1"/>
      <x:c r="R37" s="1"/>
    </x:row>
    <x:row r="38" ht="21" customHeight="1">
      <x:c r="A38" s="1"/>
      <x:c r="B38" s="1"/>
      <x:c r="C38" s="1"/>
      <x:c r="D38" s="1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1"/>
      <x:c r="R38" s="1"/>
    </x:row>
    <x:row r="39" ht="21" customHeight="1">
      <x:c r="A39" s="1"/>
      <x:c r="B39" s="1"/>
      <x:c r="C39" s="1"/>
      <x:c r="D39" s="1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1"/>
      <x:c r="R39" s="1"/>
    </x:row>
    <x:row r="40" ht="21" customHeight="1">
      <x:c r="A40" s="1"/>
      <x:c r="B40" s="1"/>
      <x:c r="C40" s="1"/>
      <x:c r="D40" s="1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1"/>
      <x:c r="R40" s="1"/>
    </x:row>
    <x:row r="41" ht="21" customHeight="1">
      <x:c r="A41" s="1"/>
      <x:c r="B41" s="1"/>
      <x:c r="C41" s="1"/>
      <x:c r="D41" s="1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1"/>
      <x:c r="R41" s="1"/>
    </x:row>
    <x:row r="42" ht="21" customHeight="1">
      <x:c r="A42" s="1"/>
      <x:c r="B42" s="1"/>
      <x:c r="C42" s="1"/>
      <x:c r="D42" s="1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1"/>
      <x:c r="R42" s="1"/>
    </x:row>
    <x:row r="43" ht="21" customHeight="1">
      <x:c r="A43" s="1"/>
      <x:c r="B43" s="1"/>
      <x:c r="C43" s="1"/>
      <x:c r="D43" s="1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1"/>
      <x:c r="R43" s="1"/>
    </x:row>
    <x:row r="44" ht="21" customHeight="1">
      <x:c r="A44" s="1"/>
      <x:c r="B44" s="1"/>
      <x:c r="C44" s="1"/>
      <x:c r="D44" s="1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1"/>
      <x:c r="R44" s="1"/>
    </x:row>
    <x:row r="45" ht="21" customHeight="1">
      <x:c r="A45" s="1"/>
      <x:c r="B45" s="1"/>
      <x:c r="C45" s="1"/>
      <x:c r="D45" s="1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1"/>
      <x:c r="R45" s="1"/>
    </x:row>
    <x:row r="46" ht="21" customHeight="1">
      <x:c r="A46" s="1"/>
      <x:c r="B46" s="1"/>
      <x:c r="C46" s="1"/>
      <x:c r="D46" s="1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1"/>
      <x:c r="R46" s="1"/>
    </x:row>
    <x:row r="47" ht="21" customHeight="1">
      <x:c r="A47" s="1"/>
      <x:c r="B47" s="1"/>
      <x:c r="C47" s="1"/>
      <x:c r="D47" s="1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1"/>
      <x:c r="R47" s="1"/>
    </x:row>
    <x:row r="48" ht="21" customHeight="1">
      <x:c r="A48" s="1"/>
      <x:c r="B48" s="1"/>
      <x:c r="C48" s="1"/>
      <x:c r="D48" s="1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1"/>
      <x:c r="R48" s="1"/>
    </x:row>
    <x:row r="49" ht="21" customHeight="1">
      <x:c r="A49" s="1"/>
      <x:c r="B49" s="1"/>
      <x:c r="C49" s="1"/>
      <x:c r="D49" s="1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1"/>
      <x:c r="R49" s="1"/>
    </x:row>
    <x:row r="50" ht="21" customHeight="1">
      <x:c r="A50" s="1"/>
      <x:c r="B50" s="1"/>
      <x:c r="C50" s="1"/>
      <x:c r="D50" s="1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1"/>
      <x:c r="R50" s="1"/>
    </x:row>
    <x:row r="51" ht="21" customHeight="1">
      <x:c r="A51" s="1"/>
      <x:c r="B51" s="1"/>
      <x:c r="C51" s="1"/>
      <x:c r="D51" s="1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1"/>
      <x:c r="R51" s="1"/>
    </x:row>
    <x:row r="52" ht="21" customHeight="1">
      <x:c r="A52" s="1"/>
      <x:c r="B52" s="1"/>
      <x:c r="C52" s="1"/>
      <x:c r="D52" s="1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1"/>
      <x:c r="R52" s="1"/>
    </x:row>
    <x:row r="53" ht="21" customHeight="1">
      <x:c r="A53" s="1"/>
      <x:c r="B53" s="1"/>
      <x:c r="C53" s="1"/>
      <x:c r="D53" s="1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1"/>
      <x:c r="R53" s="1"/>
    </x:row>
    <x:row r="54" ht="21" customHeight="1">
      <x:c r="A54" s="1"/>
      <x:c r="B54" s="1"/>
      <x:c r="C54" s="1"/>
      <x:c r="D54" s="1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1"/>
      <x:c r="R54" s="1"/>
    </x:row>
    <x:row r="55" ht="21" customHeight="1">
      <x:c r="A55" s="1"/>
      <x:c r="B55" s="1"/>
      <x:c r="C55" s="1"/>
      <x:c r="D55" s="1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1"/>
      <x:c r="R55" s="1"/>
    </x:row>
    <x:row r="56" ht="21" customHeight="1">
      <x:c r="A56" s="1"/>
      <x:c r="B56" s="1"/>
      <x:c r="C56" s="1"/>
      <x:c r="D56" s="1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1"/>
      <x:c r="R56" s="1"/>
    </x:row>
    <x:row r="57" ht="21" customHeight="1">
      <x:c r="A57" s="1"/>
      <x:c r="B57" s="1"/>
      <x:c r="C57" s="1"/>
      <x:c r="D57" s="1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1"/>
      <x:c r="R57" s="1"/>
    </x:row>
    <x:row r="58" ht="21" customHeight="1">
      <x:c r="A58" s="1"/>
      <x:c r="B58" s="1"/>
      <x:c r="C58" s="1"/>
      <x:c r="D58" s="1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1"/>
      <x:c r="R58" s="1"/>
    </x:row>
    <x:row r="59" ht="21" customHeight="1">
      <x:c r="A59" s="1"/>
      <x:c r="B59" s="1"/>
      <x:c r="C59" s="1"/>
      <x:c r="D59" s="1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1"/>
      <x:c r="R59" s="1"/>
    </x:row>
    <x:row r="60" ht="21" customHeight="1">
      <x:c r="A60" s="1"/>
      <x:c r="B60" s="1"/>
      <x:c r="C60" s="1"/>
      <x:c r="D60" s="1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1"/>
      <x:c r="R60" s="1"/>
    </x:row>
    <x:row r="61" ht="21" customHeight="1">
      <x:c r="A61" s="1"/>
      <x:c r="B61" s="1"/>
      <x:c r="C61" s="1"/>
      <x:c r="D61" s="1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1"/>
      <x:c r="R61" s="1"/>
    </x:row>
    <x:row r="62" ht="21" customHeight="1">
      <x:c r="A62" s="1"/>
      <x:c r="B62" s="1"/>
      <x:c r="C62" s="1"/>
      <x:c r="D62" s="1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1"/>
      <x:c r="R62" s="1"/>
    </x:row>
    <x:row r="63" ht="21" customHeight="1">
      <x:c r="A63" s="1"/>
      <x:c r="B63" s="1"/>
      <x:c r="C63" s="1"/>
      <x:c r="D63" s="1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1"/>
      <x:c r="R63" s="1"/>
    </x:row>
    <x:row r="64" ht="21" customHeight="1">
      <x:c r="A64" s="1"/>
      <x:c r="B64" s="1"/>
      <x:c r="C64" s="1"/>
      <x:c r="D64" s="1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1"/>
      <x:c r="R64" s="1"/>
    </x:row>
    <x:row r="65" ht="21" customHeight="1">
      <x:c r="A65" s="1"/>
      <x:c r="B65" s="1"/>
      <x:c r="C65" s="1"/>
      <x:c r="D65" s="1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1"/>
      <x:c r="R65" s="1"/>
    </x:row>
    <x:row r="66" ht="21" customHeight="1">
      <x:c r="A66" s="1"/>
      <x:c r="B66" s="1"/>
      <x:c r="C66" s="1"/>
      <x:c r="D66" s="1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1"/>
      <x:c r="R66" s="1"/>
    </x:row>
    <x:row r="67" ht="21" customHeight="1">
      <x:c r="A67" s="1"/>
      <x:c r="B67" s="1"/>
      <x:c r="C67" s="1"/>
      <x:c r="D67" s="1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1"/>
      <x:c r="R67" s="1"/>
    </x:row>
    <x:row r="68" ht="21" customHeight="1">
      <x:c r="A68" s="1"/>
      <x:c r="B68" s="1"/>
      <x:c r="C68" s="1"/>
      <x:c r="D68" s="1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1"/>
      <x:c r="R68" s="1"/>
    </x:row>
    <x:row r="69" ht="21" customHeight="1">
      <x:c r="A69" s="1"/>
      <x:c r="B69" s="1"/>
      <x:c r="C69" s="1"/>
      <x:c r="D69" s="1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1"/>
      <x:c r="R69" s="1"/>
    </x:row>
    <x:row r="70" ht="21" customHeight="1">
      <x:c r="A70" s="1"/>
      <x:c r="B70" s="1"/>
      <x:c r="C70" s="1"/>
      <x:c r="D70" s="1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1"/>
      <x:c r="R70" s="1"/>
    </x:row>
    <x:row r="71" ht="21" customHeight="1">
      <x:c r="A71" s="1"/>
      <x:c r="B71" s="1"/>
      <x:c r="C71" s="1"/>
      <x:c r="D71" s="1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1"/>
      <x:c r="R71" s="1"/>
    </x:row>
    <x:row r="72" ht="21" customHeight="1">
      <x:c r="A72" s="1"/>
      <x:c r="B72" s="1"/>
      <x:c r="C72" s="1"/>
      <x:c r="D72" s="1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1"/>
      <x:c r="R72" s="1"/>
    </x:row>
    <x:row r="73" ht="21" customHeight="1">
      <x:c r="A73" s="1"/>
      <x:c r="B73" s="1"/>
      <x:c r="C73" s="1"/>
      <x:c r="D73" s="1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1"/>
      <x:c r="R73" s="1"/>
    </x:row>
    <x:row r="74" ht="21" customHeight="1">
      <x:c r="A74" s="1"/>
      <x:c r="B74" s="1"/>
      <x:c r="C74" s="1"/>
      <x:c r="D74" s="1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1"/>
      <x:c r="R74" s="1"/>
    </x:row>
    <x:row r="75" ht="21" customHeight="1">
      <x:c r="A75" s="1"/>
      <x:c r="B75" s="1"/>
      <x:c r="C75" s="1"/>
      <x:c r="D75" s="1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1"/>
      <x:c r="R75" s="1"/>
    </x:row>
    <x:row r="76" ht="21" customHeight="1">
      <x:c r="A76" s="1"/>
      <x:c r="B76" s="1"/>
      <x:c r="C76" s="1"/>
      <x:c r="D76" s="1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1"/>
      <x:c r="R76" s="1"/>
    </x:row>
    <x:row r="77" ht="21" customHeight="1">
      <x:c r="A77" s="1"/>
      <x:c r="B77" s="1"/>
      <x:c r="C77" s="1"/>
      <x:c r="D77" s="1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1"/>
      <x:c r="R77" s="1"/>
    </x:row>
    <x:row r="78" ht="21" customHeight="1">
      <x:c r="A78" s="1"/>
      <x:c r="B78" s="1"/>
      <x:c r="C78" s="1"/>
      <x:c r="D78" s="1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1"/>
      <x:c r="R78" s="1"/>
    </x:row>
    <x:row r="79" ht="21" customHeight="1">
      <x:c r="A79" s="1"/>
      <x:c r="B79" s="1"/>
      <x:c r="C79" s="1"/>
      <x:c r="D79" s="1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1"/>
      <x:c r="R79" s="1"/>
    </x:row>
    <x:row r="80" ht="21" customHeight="1">
      <x:c r="A80" s="1"/>
      <x:c r="B80" s="1"/>
      <x:c r="C80" s="1"/>
      <x:c r="D80" s="1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1"/>
      <x:c r="R80" s="1"/>
    </x:row>
    <x:row r="81" ht="21" customHeight="1">
      <x:c r="A81" s="1"/>
      <x:c r="B81" s="1"/>
      <x:c r="C81" s="1"/>
      <x:c r="D81" s="1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1"/>
      <x:c r="R81" s="1"/>
    </x:row>
    <x:row r="82" ht="21" customHeight="1">
      <x:c r="A82" s="1"/>
      <x:c r="B82" s="1"/>
      <x:c r="C82" s="1"/>
      <x:c r="D82" s="1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1"/>
      <x:c r="R82" s="1"/>
    </x:row>
    <x:row r="83" ht="21" customHeight="1">
      <x:c r="A83" s="1"/>
      <x:c r="B83" s="1"/>
      <x:c r="C83" s="1"/>
      <x:c r="D83" s="1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1"/>
      <x:c r="R83" s="1"/>
    </x:row>
    <x:row r="84" ht="21" customHeight="1">
      <x:c r="A84" s="1"/>
      <x:c r="B84" s="1"/>
      <x:c r="C84" s="1"/>
      <x:c r="D84" s="1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1"/>
      <x:c r="R84" s="1"/>
    </x:row>
    <x:row r="85" ht="21" customHeight="1">
      <x:c r="A85" s="1"/>
      <x:c r="B85" s="1"/>
      <x:c r="C85" s="1"/>
      <x:c r="D85" s="1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1"/>
      <x:c r="R85" s="1"/>
    </x:row>
    <x:row r="86" ht="21" customHeight="1">
      <x:c r="A86" s="1"/>
      <x:c r="B86" s="1"/>
      <x:c r="C86" s="1"/>
      <x:c r="D86" s="1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1"/>
      <x:c r="R86" s="1"/>
    </x:row>
    <x:row r="87" ht="21" customHeight="1">
      <x:c r="A87" s="1"/>
      <x:c r="B87" s="1"/>
      <x:c r="C87" s="1"/>
      <x:c r="D87" s="1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1"/>
      <x:c r="R87" s="1"/>
    </x:row>
    <x:row r="88" ht="21" customHeight="1">
      <x:c r="A88" s="1"/>
      <x:c r="B88" s="1"/>
      <x:c r="C88" s="1"/>
      <x:c r="D88" s="1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1"/>
      <x:c r="R88" s="1"/>
    </x:row>
    <x:row r="89" ht="21" customHeight="1">
      <x:c r="A89" s="1"/>
      <x:c r="B89" s="1"/>
      <x:c r="C89" s="1"/>
      <x:c r="D89" s="1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1"/>
      <x:c r="R89" s="1"/>
    </x:row>
    <x:row r="90" ht="21" customHeight="1">
      <x:c r="A90" s="1"/>
      <x:c r="B90" s="1"/>
      <x:c r="C90" s="1"/>
      <x:c r="D90" s="1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1"/>
      <x:c r="R90" s="1"/>
    </x:row>
    <x:row r="91" ht="21" customHeight="1">
      <x:c r="A91" s="1"/>
      <x:c r="B91" s="1"/>
      <x:c r="C91" s="1"/>
      <x:c r="D91" s="1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1"/>
      <x:c r="R91" s="1"/>
    </x:row>
    <x:row r="92" ht="21" customHeight="1">
      <x:c r="A92" s="1"/>
      <x:c r="B92" s="1"/>
      <x:c r="C92" s="1"/>
      <x:c r="D92" s="1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1"/>
      <x:c r="R92" s="1"/>
    </x:row>
    <x:row r="93" ht="21" customHeight="1">
      <x:c r="A93" s="1"/>
      <x:c r="B93" s="1"/>
      <x:c r="C93" s="1"/>
      <x:c r="D93" s="1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1"/>
      <x:c r="R93" s="1"/>
    </x:row>
    <x:row r="94" ht="21" customHeight="1">
      <x:c r="A94" s="1"/>
      <x:c r="B94" s="1"/>
      <x:c r="C94" s="1"/>
      <x:c r="D94" s="1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1"/>
      <x:c r="R94" s="1"/>
    </x:row>
    <x:row r="95" ht="21" customHeight="1">
      <x:c r="A95" s="1"/>
      <x:c r="B95" s="1"/>
      <x:c r="C95" s="1"/>
      <x:c r="D95" s="1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1"/>
      <x:c r="R95" s="1"/>
    </x:row>
    <x:row r="96" ht="21" customHeight="1">
      <x:c r="A96" s="1"/>
      <x:c r="B96" s="1"/>
      <x:c r="C96" s="1"/>
      <x:c r="D96" s="1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1"/>
      <x:c r="R96" s="1"/>
    </x:row>
    <x:row r="97" ht="21" customHeight="1">
      <x:c r="A97" s="1"/>
      <x:c r="B97" s="1"/>
      <x:c r="C97" s="1"/>
      <x:c r="D97" s="1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1"/>
      <x:c r="R97" s="1"/>
    </x:row>
    <x:row r="98" ht="21" customHeight="1">
      <x:c r="A98" s="1"/>
      <x:c r="B98" s="1"/>
      <x:c r="C98" s="1"/>
      <x:c r="D98" s="1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1"/>
      <x:c r="R98" s="1"/>
    </x:row>
    <x:row r="99" ht="21" customHeight="1">
      <x:c r="A99" s="1"/>
      <x:c r="B99" s="1"/>
      <x:c r="C99" s="1"/>
      <x:c r="D99" s="1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1"/>
      <x:c r="R99" s="1"/>
    </x:row>
    <x:row r="100" ht="21" customHeight="1">
      <x:c r="A100" s="1"/>
      <x:c r="B100" s="1"/>
      <x:c r="C100" s="1"/>
      <x:c r="D100" s="1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1"/>
      <x:c r="R100" s="1"/>
    </x:row>
    <x:row r="101" ht="21" customHeight="1">
      <x:c r="A101" s="1"/>
      <x:c r="B101" s="1"/>
      <x:c r="C101" s="1"/>
      <x:c r="D101" s="1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1"/>
      <x:c r="R101" s="1"/>
    </x:row>
    <x:row r="102" ht="21" customHeight="1">
      <x:c r="A102" s="1"/>
      <x:c r="B102" s="1"/>
      <x:c r="C102" s="1"/>
      <x:c r="D102" s="1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1"/>
      <x:c r="R102" s="1"/>
    </x:row>
    <x:row r="103" ht="21" customHeight="1">
      <x:c r="A103" s="1"/>
      <x:c r="B103" s="1"/>
      <x:c r="C103" s="1"/>
      <x:c r="D103" s="1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1"/>
      <x:c r="R103" s="1"/>
    </x:row>
    <x:row r="104" ht="21" customHeight="1">
      <x:c r="A104" s="1"/>
      <x:c r="B104" s="1"/>
      <x:c r="C104" s="1"/>
      <x:c r="D104" s="1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1"/>
      <x:c r="R104" s="1"/>
    </x:row>
    <x:row r="105" ht="21" customHeight="1">
      <x:c r="A105" s="1"/>
      <x:c r="B105" s="1"/>
      <x:c r="C105" s="1"/>
      <x:c r="D105" s="1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1"/>
      <x:c r="R105" s="1"/>
    </x:row>
    <x:row r="106" ht="21" customHeight="1">
      <x:c r="A106" s="1"/>
      <x:c r="B106" s="1"/>
      <x:c r="C106" s="1"/>
      <x:c r="D106" s="1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1"/>
      <x:c r="R106" s="1"/>
    </x:row>
    <x:row r="107" ht="21" customHeight="1">
      <x:c r="A107" s="1"/>
      <x:c r="B107" s="1"/>
      <x:c r="C107" s="1"/>
      <x:c r="D107" s="1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1"/>
      <x:c r="R107" s="1"/>
    </x:row>
    <x:row r="108" ht="21" customHeight="1">
      <x:c r="A108" s="1"/>
      <x:c r="B108" s="1"/>
      <x:c r="C108" s="1"/>
      <x:c r="D108" s="1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1"/>
      <x:c r="R108" s="1"/>
    </x:row>
    <x:row r="109" ht="21" customHeight="1">
      <x:c r="A109" s="1"/>
      <x:c r="B109" s="1"/>
      <x:c r="C109" s="1"/>
      <x:c r="D109" s="1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1"/>
      <x:c r="R109" s="1"/>
    </x:row>
    <x:row r="110" ht="21" customHeight="1">
      <x:c r="A110" s="1"/>
      <x:c r="B110" s="1"/>
      <x:c r="C110" s="1"/>
      <x:c r="D110" s="1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1"/>
      <x:c r="R110" s="1"/>
    </x:row>
    <x:row r="111" ht="21" customHeight="1">
      <x:c r="A111" s="1"/>
      <x:c r="B111" s="1"/>
      <x:c r="C111" s="1"/>
      <x:c r="D111" s="1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1"/>
      <x:c r="R111" s="1"/>
    </x:row>
    <x:row r="112" ht="21" customHeight="1">
      <x:c r="A112" s="1"/>
      <x:c r="B112" s="1"/>
      <x:c r="C112" s="1"/>
      <x:c r="D112" s="1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1"/>
      <x:c r="R112" s="1"/>
    </x:row>
    <x:row r="113" ht="21" customHeight="1">
      <x:c r="A113" s="1"/>
      <x:c r="B113" s="1"/>
      <x:c r="C113" s="1"/>
      <x:c r="D113" s="1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1"/>
      <x:c r="R113" s="1"/>
    </x:row>
    <x:row r="114" ht="21" customHeight="1">
      <x:c r="A114" s="1"/>
      <x:c r="B114" s="1"/>
      <x:c r="C114" s="1"/>
      <x:c r="D114" s="1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1"/>
      <x:c r="R114" s="1"/>
    </x:row>
    <x:row r="115" ht="21" customHeight="1">
      <x:c r="A115" s="1"/>
      <x:c r="B115" s="1"/>
      <x:c r="C115" s="1"/>
      <x:c r="D115" s="1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1"/>
      <x:c r="R115" s="1"/>
    </x:row>
    <x:row r="116" ht="21" customHeight="1">
      <x:c r="A116" s="1"/>
      <x:c r="B116" s="1"/>
      <x:c r="C116" s="1"/>
      <x:c r="D116" s="1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1"/>
      <x:c r="R116" s="1"/>
    </x:row>
    <x:row r="117" ht="21" customHeight="1">
      <x:c r="A117" s="1"/>
      <x:c r="B117" s="1"/>
      <x:c r="C117" s="1"/>
      <x:c r="D117" s="1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1"/>
      <x:c r="R117" s="1"/>
    </x:row>
    <x:row r="118" ht="21" customHeight="1">
      <x:c r="A118" s="1"/>
      <x:c r="B118" s="1"/>
      <x:c r="C118" s="1"/>
      <x:c r="D118" s="1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1"/>
      <x:c r="R118" s="1"/>
    </x:row>
    <x:row r="119" ht="21" customHeight="1">
      <x:c r="A119" s="1"/>
      <x:c r="B119" s="1"/>
      <x:c r="C119" s="1"/>
      <x:c r="D119" s="1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1"/>
      <x:c r="R119" s="1"/>
    </x:row>
    <x:row r="120" ht="21" customHeight="1">
      <x:c r="A120" s="1"/>
      <x:c r="B120" s="1"/>
      <x:c r="C120" s="1"/>
      <x:c r="D120" s="1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1"/>
      <x:c r="R120" s="1"/>
    </x:row>
    <x:row r="121" ht="21" customHeight="1">
      <x:c r="A121" s="1"/>
      <x:c r="B121" s="1"/>
      <x:c r="C121" s="1"/>
      <x:c r="D121" s="1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1"/>
      <x:c r="R121" s="1"/>
    </x:row>
    <x:row r="122" ht="21" customHeight="1">
      <x:c r="A122" s="1"/>
      <x:c r="B122" s="1"/>
      <x:c r="C122" s="1"/>
      <x:c r="D122" s="1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1"/>
      <x:c r="R122" s="1"/>
    </x:row>
    <x:row r="123" ht="21" customHeight="1">
      <x:c r="A123" s="1"/>
      <x:c r="B123" s="1"/>
      <x:c r="C123" s="1"/>
      <x:c r="D123" s="1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1"/>
      <x:c r="R123" s="1"/>
    </x:row>
    <x:row r="124" ht="21" customHeight="1">
      <x:c r="A124" s="1"/>
      <x:c r="B124" s="1"/>
      <x:c r="C124" s="1"/>
      <x:c r="D124" s="1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1"/>
      <x:c r="R124" s="1"/>
    </x:row>
    <x:row r="125" ht="21" customHeight="1">
      <x:c r="A125" s="1"/>
      <x:c r="B125" s="1"/>
      <x:c r="C125" s="1"/>
      <x:c r="D125" s="1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1"/>
      <x:c r="R125" s="1"/>
    </x:row>
    <x:row r="126" ht="21" customHeight="1">
      <x:c r="A126" s="1"/>
      <x:c r="B126" s="1"/>
      <x:c r="C126" s="1"/>
      <x:c r="D126" s="1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1"/>
      <x:c r="R126" s="1"/>
    </x:row>
    <x:row r="127" ht="21" customHeight="1">
      <x:c r="A127" s="1"/>
      <x:c r="B127" s="1"/>
      <x:c r="C127" s="1"/>
      <x:c r="D127" s="1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1"/>
      <x:c r="R127" s="1"/>
    </x:row>
    <x:row r="128" ht="21" customHeight="1">
      <x:c r="A128" s="1"/>
      <x:c r="B128" s="1"/>
      <x:c r="C128" s="1"/>
      <x:c r="D128" s="1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1"/>
      <x:c r="R128" s="1"/>
    </x:row>
    <x:row r="129" ht="21" customHeight="1">
      <x:c r="A129" s="1"/>
      <x:c r="B129" s="1"/>
      <x:c r="C129" s="1"/>
      <x:c r="D129" s="1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1"/>
      <x:c r="R129" s="1"/>
    </x:row>
    <x:row r="130" ht="21" customHeight="1">
      <x:c r="A130" s="1"/>
      <x:c r="B130" s="1"/>
      <x:c r="C130" s="1"/>
      <x:c r="D130" s="1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1"/>
      <x:c r="R130" s="1"/>
    </x:row>
    <x:row r="131" ht="21" customHeight="1">
      <x:c r="A131" s="1"/>
      <x:c r="B131" s="1"/>
      <x:c r="C131" s="1"/>
      <x:c r="D131" s="1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1"/>
      <x:c r="R131" s="1"/>
    </x:row>
    <x:row r="132" ht="21" customHeight="1">
      <x:c r="A132" s="1"/>
      <x:c r="B132" s="1"/>
      <x:c r="C132" s="1"/>
      <x:c r="D132" s="1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1"/>
      <x:c r="R132" s="1"/>
    </x:row>
    <x:row r="133" ht="21" customHeight="1">
      <x:c r="A133" s="1"/>
      <x:c r="B133" s="1"/>
      <x:c r="C133" s="1"/>
      <x:c r="D133" s="1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1"/>
      <x:c r="R133" s="1"/>
    </x:row>
    <x:row r="134" ht="21" customHeight="1">
      <x:c r="A134" s="1"/>
      <x:c r="B134" s="1"/>
      <x:c r="C134" s="1"/>
      <x:c r="D134" s="1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1"/>
      <x:c r="R134" s="1"/>
    </x:row>
    <x:row r="135" ht="21" customHeight="1">
      <x:c r="A135" s="1"/>
      <x:c r="B135" s="1"/>
      <x:c r="C135" s="1"/>
      <x:c r="D135" s="1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1"/>
      <x:c r="R135" s="1"/>
    </x:row>
    <x:row r="136" ht="21" customHeight="1">
      <x:c r="A136" s="1"/>
      <x:c r="B136" s="1"/>
      <x:c r="C136" s="1"/>
      <x:c r="D136" s="1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1"/>
      <x:c r="R136" s="1"/>
    </x:row>
    <x:row r="137" ht="21" customHeight="1">
      <x:c r="A137" s="1"/>
      <x:c r="B137" s="1"/>
      <x:c r="C137" s="1"/>
      <x:c r="D137" s="1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1"/>
      <x:c r="R137" s="1"/>
    </x:row>
    <x:row r="138" ht="21" customHeight="1">
      <x:c r="A138" s="1"/>
      <x:c r="B138" s="1"/>
      <x:c r="C138" s="1"/>
      <x:c r="D138" s="1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1"/>
      <x:c r="R138" s="1"/>
    </x:row>
    <x:row r="139" ht="21" customHeight="1">
      <x:c r="A139" s="1"/>
      <x:c r="B139" s="1"/>
      <x:c r="C139" s="1"/>
      <x:c r="D139" s="1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1"/>
      <x:c r="R139" s="1"/>
    </x:row>
    <x:row r="140" ht="21" customHeight="1">
      <x:c r="A140" s="1"/>
      <x:c r="B140" s="1"/>
      <x:c r="C140" s="1"/>
      <x:c r="D140" s="1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1"/>
      <x:c r="R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9C9A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1" hidden="0" customWidth="1"/>
    <x:col min="4" max="4" width="3" hidden="0" customWidth="1"/>
    <x:col min="5" max="5" width="14" hidden="0" customWidth="1"/>
    <x:col min="6" max="6" width="14" hidden="0" customWidth="1"/>
    <x:col min="7" max="7" width="14" hidden="0" customWidth="1"/>
    <x:col min="8" max="8" width="110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1" customHeight="1">
      <x:c r="A2" s="1"/>
      <x:c r="B2" s="1"/>
      <x:c r="C2" s="3" t="str">
        <x:v>Lumentum | Actuals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1"/>
      <x:c r="R2" s="1"/>
    </x:row>
    <x:row r="3" ht="21" customHeight="1">
      <x:c r="A3" s="1"/>
      <x:c r="B3" s="1"/>
      <x:c r="C3" s="1" t="str">
        <x:v>USD millions, except EPS and share prices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1" customHeight="1">
      <x:c r="A4" s="1"/>
      <x:c r="B4" s="1"/>
      <x:c r="C4" s="1" t="str">
        <x:v>Case selected</x:v>
      </x:c>
      <x:c r="D4" s="1"/>
      <x:c r="E4" s="40" t="str">
        <x:f>'Assumptions'!F4</x:f>
        <x:v>Base</x:v>
      </x:c>
      <x:c r="F4" s="4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23" customHeight="1">
      <x:c r="A6" s="1"/>
      <x:c r="B6" s="1"/>
      <x:c r="C6" s="8" t="str">
        <x:v>Reported inputs and dated market data</x:v>
      </x:c>
      <x:c r="D6" s="8"/>
      <x:c r="E6" s="9"/>
      <x:c r="F6" s="9"/>
      <x:c r="G6" s="9"/>
      <x:c r="H6" s="9"/>
      <x:c r="I6" s="9"/>
      <x:c r="J6" s="9"/>
      <x:c r="K6" s="9"/>
      <x:c r="L6" s="2"/>
      <x:c r="M6" s="2"/>
      <x:c r="N6" s="2"/>
      <x:c r="O6" s="2"/>
      <x:c r="P6" s="2"/>
      <x:c r="Q6" s="1"/>
      <x:c r="R6" s="1"/>
    </x:row>
    <x:row r="7" ht="21" customHeight="1">
      <x:c r="A7" s="1"/>
      <x:c r="B7" s="1"/>
      <x:c r="C7" s="1"/>
      <x:c r="D7" s="1"/>
      <x:c r="E7" s="2" t="str">
        <x:v>FY:25</x:v>
      </x:c>
      <x:c r="F7" s="2" t="str">
        <x:v>FY:26</x:v>
      </x:c>
      <x:c r="G7" s="2" t="str">
        <x:v>Q4:26</x:v>
      </x:c>
      <x:c r="H7" s="2" t="str">
        <x:v>Source</x:v>
      </x:c>
      <x:c r="I7" s="2"/>
      <x:c r="J7" s="2"/>
      <x:c r="K7" s="2"/>
      <x:c r="L7" s="2"/>
      <x:c r="M7" s="2"/>
      <x:c r="N7" s="2"/>
      <x:c r="O7" s="2"/>
      <x:c r="P7" s="2"/>
      <x:c r="Q7" s="1"/>
      <x:c r="R7" s="1"/>
    </x:row>
    <x:row r="8" ht="21" customHeight="1">
      <x:c r="A8" s="1"/>
      <x:c r="B8" s="1"/>
      <x:c r="C8" s="1" t="str">
        <x:v>Revenue</x:v>
      </x:c>
      <x:c r="D8" s="1"/>
      <x:c r="E8" s="14" t="n">
        <x:v>1645</x:v>
      </x:c>
      <x:c r="F8" s="14" t="n">
        <x:v>3014</x:v>
      </x:c>
      <x:c r="G8" s="14" t="n">
        <x:v>1006.3</x:v>
      </x:c>
      <x:c r="H8" s="2" t="str">
        <x:v>https://investor.lumentum.com/financial-news-releases/news-details/2026/Lumentum-Announces-Fourth-Quarter-and-Full-Fiscal-Year-2026-Results/default.aspx</x:v>
      </x:c>
      <x:c r="I8" s="2"/>
      <x:c r="J8" s="2"/>
      <x:c r="K8" s="2"/>
      <x:c r="L8" s="2"/>
      <x:c r="M8" s="2"/>
      <x:c r="N8" s="2"/>
      <x:c r="O8" s="2"/>
      <x:c r="P8" s="2"/>
      <x:c r="Q8" s="1"/>
      <x:c r="R8" s="1"/>
    </x:row>
    <x:row r="9" ht="21" customHeight="1">
      <x:c r="A9" s="1"/>
      <x:c r="B9" s="1"/>
      <x:c r="C9" s="1" t="str">
        <x:v>Components</x:v>
      </x:c>
      <x:c r="D9" s="1"/>
      <x:c r="E9" s="14" t="n">
        <x:v>1116.3</x:v>
      </x:c>
      <x:c r="F9" s="14" t="n">
        <x:v>2005.6</x:v>
      </x:c>
      <x:c r="G9" s="14" t="n">
        <x:v>649.4</x:v>
      </x:c>
      <x:c r="H9" s="2" t="str">
        <x:v>https://investor.lumentum.com/financial-news-releases/news-details/2026/Lumentum-Announces-Fourth-Quarter-and-Full-Fiscal-Year-2026-Results/default.aspx</x:v>
      </x:c>
      <x:c r="I9" s="2"/>
      <x:c r="J9" s="2"/>
      <x:c r="K9" s="2"/>
      <x:c r="L9" s="2"/>
      <x:c r="M9" s="2"/>
      <x:c r="N9" s="2"/>
      <x:c r="O9" s="2"/>
      <x:c r="P9" s="2"/>
      <x:c r="Q9" s="1"/>
      <x:c r="R9" s="1"/>
    </x:row>
    <x:row r="10" ht="21" customHeight="1">
      <x:c r="A10" s="1"/>
      <x:c r="B10" s="1"/>
      <x:c r="C10" s="1" t="str">
        <x:v>Systems</x:v>
      </x:c>
      <x:c r="D10" s="1"/>
      <x:c r="E10" s="14" t="n">
        <x:v>528.7</x:v>
      </x:c>
      <x:c r="F10" s="14" t="n">
        <x:v>1008.4</x:v>
      </x:c>
      <x:c r="G10" s="14" t="n">
        <x:v>356.9</x:v>
      </x:c>
      <x:c r="H10" s="2" t="str">
        <x:v>https://investor.lumentum.com/financial-news-releases/news-details/2026/Lumentum-Announces-Fourth-Quarter-and-Full-Fiscal-Year-2026-Results/default.aspx</x:v>
      </x:c>
      <x:c r="I10" s="2"/>
      <x:c r="J10" s="2"/>
      <x:c r="K10" s="2"/>
      <x:c r="L10" s="2"/>
      <x:c r="M10" s="2"/>
      <x:c r="N10" s="2"/>
      <x:c r="O10" s="2"/>
      <x:c r="P10" s="2"/>
      <x:c r="Q10" s="1"/>
      <x:c r="R10" s="1"/>
    </x:row>
    <x:row r="11" ht="21" customHeight="1">
      <x:c r="A11" s="1"/>
      <x:c r="B11" s="1"/>
      <x:c r="C11" s="1" t="str">
        <x:v>Adjusted gross margin</x:v>
      </x:c>
      <x:c r="D11" s="1"/>
      <x:c r="E11" s="16" t="n">
        <x:v>0.347</x:v>
      </x:c>
      <x:c r="F11" s="16" t="n">
        <x:v>0.46</x:v>
      </x:c>
      <x:c r="G11" s="16" t="n">
        <x:v>0.504</x:v>
      </x:c>
      <x:c r="H11" s="2" t="str">
        <x:v>https://investor.lumentum.com/financial-news-releases/news-details/2026/Lumentum-Announces-Fourth-Quarter-and-Full-Fiscal-Year-2026-Results/default.aspx</x:v>
      </x:c>
      <x:c r="I11" s="2"/>
      <x:c r="J11" s="2"/>
      <x:c r="K11" s="2"/>
      <x:c r="L11" s="2"/>
      <x:c r="M11" s="2"/>
      <x:c r="N11" s="2"/>
      <x:c r="O11" s="2"/>
      <x:c r="P11" s="2"/>
      <x:c r="Q11" s="1"/>
      <x:c r="R11" s="1"/>
    </x:row>
    <x:row r="12" ht="21" customHeight="1">
      <x:c r="A12" s="1"/>
      <x:c r="B12" s="1"/>
      <x:c r="C12" s="1" t="str">
        <x:v>Adjusted operating profit</x:v>
      </x:c>
      <x:c r="D12" s="1"/>
      <x:c r="E12" s="14" t="n">
        <x:v>159.4</x:v>
      </x:c>
      <x:c r="F12" s="14" t="n">
        <x:v>897</x:v>
      </x:c>
      <x:c r="G12" s="14" t="n">
        <x:v>368.3</x:v>
      </x:c>
      <x:c r="H12" s="2" t="str">
        <x:v>https://investor.lumentum.com/financial-news-releases/news-details/2026/Lumentum-Announces-Fourth-Quarter-and-Full-Fiscal-Year-2026-Results/default.aspx</x:v>
      </x:c>
      <x:c r="I12" s="2"/>
      <x:c r="J12" s="2"/>
      <x:c r="K12" s="2"/>
      <x:c r="L12" s="2"/>
      <x:c r="M12" s="2"/>
      <x:c r="N12" s="2"/>
      <x:c r="O12" s="2"/>
      <x:c r="P12" s="2"/>
      <x:c r="Q12" s="1"/>
      <x:c r="R12" s="1"/>
    </x:row>
    <x:row r="13" ht="21" customHeight="1">
      <x:c r="A13" s="1"/>
      <x:c r="B13" s="1"/>
      <x:c r="C13" s="1" t="str">
        <x:v>Adjusted EPS</x:v>
      </x:c>
      <x:c r="D13" s="1"/>
      <x:c r="E13" s="33" t="n">
        <x:v>2.06</x:v>
      </x:c>
      <x:c r="F13" s="33" t="n">
        <x:v>8.67</x:v>
      </x:c>
      <x:c r="G13" s="33" t="n">
        <x:v>3.23</x:v>
      </x:c>
      <x:c r="H13" s="2" t="str">
        <x:v>https://investor.lumentum.com/financial-news-releases/news-details/2026/Lumentum-Announces-Fourth-Quarter-and-Full-Fiscal-Year-2026-Results/default.aspx</x:v>
      </x:c>
      <x:c r="I13" s="2"/>
      <x:c r="J13" s="2"/>
      <x:c r="K13" s="2"/>
      <x:c r="L13" s="2"/>
      <x:c r="M13" s="2"/>
      <x:c r="N13" s="2"/>
      <x:c r="O13" s="2"/>
      <x:c r="P13" s="2"/>
      <x:c r="Q13" s="1"/>
      <x:c r="R13" s="1"/>
    </x:row>
    <x:row r="14" ht="21" customHeight="1">
      <x:c r="A14" s="1"/>
      <x:c r="B14" s="1"/>
      <x:c r="C14" s="1" t="str">
        <x:v>Operating cash flow</x:v>
      </x:c>
      <x:c r="D14" s="1"/>
      <x:c r="E14" s="14" t="n">
        <x:v>126.3</x:v>
      </x:c>
      <x:c r="F14" s="14" t="n">
        <x:v>751.4</x:v>
      </x:c>
      <x:c r="G14" s="14"/>
      <x:c r="H14" s="2" t="str">
        <x:v>https://www.sec.gov/Archives/edgar/data/1633978/000162828026057358/lite-20260627.htm</x:v>
      </x:c>
      <x:c r="I14" s="2"/>
      <x:c r="J14" s="2"/>
      <x:c r="K14" s="2"/>
      <x:c r="L14" s="2"/>
      <x:c r="M14" s="2"/>
      <x:c r="N14" s="2"/>
      <x:c r="O14" s="2"/>
      <x:c r="P14" s="2"/>
      <x:c r="Q14" s="1"/>
      <x:c r="R14" s="1"/>
    </x:row>
    <x:row r="15" ht="21" customHeight="1">
      <x:c r="A15" s="1"/>
      <x:c r="B15" s="1"/>
      <x:c r="C15" s="1" t="str">
        <x:v>Cash capex</x:v>
      </x:c>
      <x:c r="D15" s="1"/>
      <x:c r="E15" s="14" t="n">
        <x:v>231</x:v>
      </x:c>
      <x:c r="F15" s="14" t="n">
        <x:v>451.3</x:v>
      </x:c>
      <x:c r="G15" s="14"/>
      <x:c r="H15" s="2" t="str">
        <x:v>https://www.sec.gov/Archives/edgar/data/1633978/000162828026057358/lite-20260627.htm</x:v>
      </x:c>
      <x:c r="I15" s="2"/>
      <x:c r="J15" s="2"/>
      <x:c r="K15" s="2"/>
      <x:c r="L15" s="2"/>
      <x:c r="M15" s="2"/>
      <x:c r="N15" s="2"/>
      <x:c r="O15" s="2"/>
      <x:c r="P15" s="2"/>
      <x:c r="Q15" s="1"/>
      <x:c r="R15" s="1"/>
    </x:row>
    <x:row r="16" ht="21" customHeight="1">
      <x:c r="A16" s="1"/>
      <x:c r="B16" s="1"/>
      <x:c r="C16" s="1" t="str">
        <x:v>Depreciation</x:v>
      </x:c>
      <x:c r="D16" s="1"/>
      <x:c r="E16" s="14" t="n">
        <x:v>104.3</x:v>
      </x:c>
      <x:c r="F16" s="14" t="n">
        <x:v>128.8</x:v>
      </x:c>
      <x:c r="G16" s="14"/>
      <x:c r="H16" s="2" t="str">
        <x:v>https://www.sec.gov/Archives/edgar/data/1633978/000162828026057358/lite-20260627.htm</x:v>
      </x:c>
      <x:c r="I16" s="2"/>
      <x:c r="J16" s="2"/>
      <x:c r="K16" s="2"/>
      <x:c r="L16" s="2"/>
      <x:c r="M16" s="2"/>
      <x:c r="N16" s="2"/>
      <x:c r="O16" s="2"/>
      <x:c r="P16" s="2"/>
      <x:c r="Q16" s="1"/>
      <x:c r="R16" s="1"/>
    </x:row>
    <x:row r="17" ht="21" customHeight="1">
      <x:c r="A17" s="1"/>
      <x:c r="B17" s="1"/>
      <x:c r="C17" s="1" t="str">
        <x:v>Acquired intangible amortization</x:v>
      </x:c>
      <x:c r="D17" s="1"/>
      <x:c r="E17" s="14" t="n">
        <x:v>149.7</x:v>
      </x:c>
      <x:c r="F17" s="14" t="n">
        <x:v>135.7</x:v>
      </x:c>
      <x:c r="G17" s="14"/>
      <x:c r="H17" s="2" t="str">
        <x:v>https://www.sec.gov/Archives/edgar/data/1633978/000162828026057358/lite-20260627.htm</x:v>
      </x:c>
      <x:c r="I17" s="2"/>
      <x:c r="J17" s="2"/>
      <x:c r="K17" s="2"/>
      <x:c r="L17" s="2"/>
      <x:c r="M17" s="2"/>
      <x:c r="N17" s="2"/>
      <x:c r="O17" s="2"/>
      <x:c r="P17" s="2"/>
      <x:c r="Q17" s="1"/>
      <x:c r="R17" s="1"/>
    </x:row>
    <x:row r="18" ht="21" customHeight="1">
      <x:c r="A18" s="1"/>
      <x:c r="B18" s="1"/>
      <x:c r="C18" s="1" t="str">
        <x:v>Stock compensation</x:v>
      </x:c>
      <x:c r="D18" s="1"/>
      <x:c r="E18" s="14" t="n">
        <x:v>177.2</x:v>
      </x:c>
      <x:c r="F18" s="14" t="n">
        <x:v>170.2</x:v>
      </x:c>
      <x:c r="G18" s="14"/>
      <x:c r="H18" s="2" t="str">
        <x:v>https://www.sec.gov/Archives/edgar/data/1633978/000162828026057358/lite-20260627.htm</x:v>
      </x:c>
      <x:c r="I18" s="2"/>
      <x:c r="J18" s="2"/>
      <x:c r="K18" s="2"/>
      <x:c r="L18" s="2"/>
      <x:c r="M18" s="2"/>
      <x:c r="N18" s="2"/>
      <x:c r="O18" s="2"/>
      <x:c r="P18" s="2"/>
      <x:c r="Q18" s="1"/>
      <x:c r="R18" s="1"/>
    </x:row>
    <x:row r="19" ht="21" customHeight="1">
      <x:c r="A19" s="1"/>
      <x:c r="B19" s="1"/>
      <x:c r="C19" s="1" t="str">
        <x:v>Cash and short-term investments</x:v>
      </x:c>
      <x:c r="D19" s="1"/>
      <x:c r="E19" s="14" t="n">
        <x:v>877.1</x:v>
      </x:c>
      <x:c r="F19" s="14" t="n">
        <x:v>2738.4</x:v>
      </x:c>
      <x:c r="G19" s="14"/>
      <x:c r="H19" s="2" t="str">
        <x:v>https://investor.lumentum.com/financial-news-releases/news-details/2026/Lumentum-Announces-Fourth-Quarter-and-Full-Fiscal-Year-2026-Results/default.aspx</x:v>
      </x:c>
      <x:c r="I19" s="2"/>
      <x:c r="J19" s="2"/>
      <x:c r="K19" s="2"/>
      <x:c r="L19" s="2"/>
      <x:c r="M19" s="2"/>
      <x:c r="N19" s="2"/>
      <x:c r="O19" s="2"/>
      <x:c r="P19" s="2"/>
      <x:c r="Q19" s="1"/>
      <x:c r="R19" s="1"/>
    </x:row>
    <x:row r="20" ht="21" customHeight="1">
      <x:c r="A20" s="1"/>
      <x:c r="B20" s="1"/>
      <x:c r="C20" s="1" t="str">
        <x:v>Debt carrying value</x:v>
      </x:c>
      <x:c r="D20" s="1"/>
      <x:c r="E20" s="14" t="n">
        <x:v>2573.2</x:v>
      </x:c>
      <x:c r="F20" s="14" t="n">
        <x:v>1637.4</x:v>
      </x:c>
      <x:c r="G20" s="14"/>
      <x:c r="H20" s="2" t="str">
        <x:v>https://investor.lumentum.com/financial-news-releases/news-details/2026/Lumentum-Announces-Fourth-Quarter-and-Full-Fiscal-Year-2026-Results/default.aspx</x:v>
      </x:c>
      <x:c r="I20" s="2"/>
      <x:c r="J20" s="2"/>
      <x:c r="K20" s="2"/>
      <x:c r="L20" s="2"/>
      <x:c r="M20" s="2"/>
      <x:c r="N20" s="2"/>
      <x:c r="O20" s="2"/>
      <x:c r="P20" s="2"/>
      <x:c r="Q20" s="1"/>
      <x:c r="R20" s="1"/>
    </x:row>
    <x:row r="21" ht="21" customHeight="1">
      <x:c r="A21" s="1"/>
      <x:c r="B21" s="1"/>
      <x:c r="C21" s="1" t="str">
        <x:v>Accounts receivable</x:v>
      </x:c>
      <x:c r="D21" s="1"/>
      <x:c r="E21" s="14" t="n">
        <x:v>250</x:v>
      </x:c>
      <x:c r="F21" s="14" t="n">
        <x:v>520.3</x:v>
      </x:c>
      <x:c r="G21" s="14"/>
      <x:c r="H21" s="2" t="str">
        <x:v>https://investor.lumentum.com/financial-news-releases/news-details/2026/Lumentum-Announces-Fourth-Quarter-and-Full-Fiscal-Year-2026-Results/default.aspx</x:v>
      </x:c>
      <x:c r="I21" s="2"/>
      <x:c r="J21" s="2"/>
      <x:c r="K21" s="2"/>
      <x:c r="L21" s="2"/>
      <x:c r="M21" s="2"/>
      <x:c r="N21" s="2"/>
      <x:c r="O21" s="2"/>
      <x:c r="P21" s="2"/>
      <x:c r="Q21" s="1"/>
      <x:c r="R21" s="1"/>
    </x:row>
    <x:row r="22" ht="21" customHeight="1">
      <x:c r="A22" s="1"/>
      <x:c r="B22" s="1"/>
      <x:c r="C22" s="1" t="str">
        <x:v>Inventory</x:v>
      </x:c>
      <x:c r="D22" s="1"/>
      <x:c r="E22" s="14" t="n">
        <x:v>470.1</x:v>
      </x:c>
      <x:c r="F22" s="14" t="n">
        <x:v>691.6</x:v>
      </x:c>
      <x:c r="G22" s="14"/>
      <x:c r="H22" s="2" t="str">
        <x:v>https://investor.lumentum.com/financial-news-releases/news-details/2026/Lumentum-Announces-Fourth-Quarter-and-Full-Fiscal-Year-2026-Results/default.aspx</x:v>
      </x:c>
      <x:c r="I22" s="2"/>
      <x:c r="J22" s="2"/>
      <x:c r="K22" s="2"/>
      <x:c r="L22" s="2"/>
      <x:c r="M22" s="2"/>
      <x:c r="N22" s="2"/>
      <x:c r="O22" s="2"/>
      <x:c r="P22" s="2"/>
      <x:c r="Q22" s="1"/>
      <x:c r="R22" s="1"/>
    </x:row>
    <x:row r="23" ht="21" customHeight="1">
      <x:c r="A23" s="1"/>
      <x:c r="B23" s="1"/>
      <x:c r="C23" s="1" t="str">
        <x:v>Accounts payable (includes capex)</x:v>
      </x:c>
      <x:c r="D23" s="1"/>
      <x:c r="E23" s="14" t="n">
        <x:v>225.2</x:v>
      </x:c>
      <x:c r="F23" s="14" t="n">
        <x:v>567.4</x:v>
      </x:c>
      <x:c r="G23" s="14"/>
      <x:c r="H23" s="2" t="str">
        <x:v>https://investor.lumentum.com/financial-news-releases/news-details/2026/Lumentum-Announces-Fourth-Quarter-and-Full-Fiscal-Year-2026-Results/default.aspx</x:v>
      </x:c>
      <x:c r="I23" s="2"/>
      <x:c r="J23" s="2"/>
      <x:c r="K23" s="2"/>
      <x:c r="L23" s="2"/>
      <x:c r="M23" s="2"/>
      <x:c r="N23" s="2"/>
      <x:c r="O23" s="2"/>
      <x:c r="P23" s="2"/>
      <x:c r="Q23" s="1"/>
      <x:c r="R23" s="1"/>
    </x:row>
    <x:row r="24" ht="21" customHeight="1">
      <x:c r="A24" s="1"/>
      <x:c r="B24" s="1"/>
      <x:c r="C24" s="1" t="str">
        <x:v>Net PP&amp;E</x:v>
      </x:c>
      <x:c r="D24" s="1"/>
      <x:c r="E24" s="14" t="n">
        <x:v>726.4</x:v>
      </x:c>
      <x:c r="F24" s="14" t="n">
        <x:v>1159.1</x:v>
      </x:c>
      <x:c r="G24" s="14"/>
      <x:c r="H24" s="2" t="str">
        <x:v>https://investor.lumentum.com/financial-news-releases/news-details/2026/Lumentum-Announces-Fourth-Quarter-and-Full-Fiscal-Year-2026-Results/default.aspx</x:v>
      </x:c>
      <x:c r="I24" s="2"/>
      <x:c r="J24" s="2"/>
      <x:c r="K24" s="2"/>
      <x:c r="L24" s="2"/>
      <x:c r="M24" s="2"/>
      <x:c r="N24" s="2"/>
      <x:c r="O24" s="2"/>
      <x:c r="P24" s="2"/>
      <x:c r="Q24" s="1"/>
      <x:c r="R24" s="1"/>
    </x:row>
    <x:row r="25" ht="21" customHeight="1">
      <x:c r="A25" s="1"/>
      <x:c r="B25" s="1"/>
      <x:c r="C25" s="1" t="str">
        <x:v>Adjusted diluted shares</x:v>
      </x:c>
      <x:c r="D25" s="1"/>
      <x:c r="E25" s="14" t="n">
        <x:v>71.2</x:v>
      </x:c>
      <x:c r="F25" s="14" t="n">
        <x:v>90.2</x:v>
      </x:c>
      <x:c r="G25" s="14" t="n">
        <x:v>101.1</x:v>
      </x:c>
      <x:c r="H25" s="2" t="str">
        <x:v>https://investor.lumentum.com/financial-news-releases/news-details/2026/Lumentum-Announces-Fourth-Quarter-and-Full-Fiscal-Year-2026-Results/default.aspx</x:v>
      </x:c>
      <x:c r="I25" s="2"/>
      <x:c r="J25" s="2"/>
      <x:c r="K25" s="2"/>
      <x:c r="L25" s="2"/>
      <x:c r="M25" s="2"/>
      <x:c r="N25" s="2"/>
      <x:c r="O25" s="2"/>
      <x:c r="P25" s="2"/>
      <x:c r="Q25" s="1"/>
      <x:c r="R25" s="1"/>
    </x:row>
    <x:row r="26" ht="21" customHeight="1">
      <x:c r="A26" s="1"/>
      <x:c r="B26" s="1"/>
      <x:c r="C26" s="1"/>
      <x:c r="D26" s="1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1"/>
      <x:c r="R26" s="1"/>
    </x:row>
    <x:row r="27" ht="21" customHeight="1">
      <x:c r="A27" s="1"/>
      <x:c r="B27" s="1"/>
      <x:c r="C27" s="1"/>
      <x:c r="D27" s="1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1"/>
      <x:c r="R27" s="1"/>
    </x:row>
    <x:row r="28" ht="21" customHeight="1">
      <x:c r="A28" s="1"/>
      <x:c r="B28" s="1"/>
      <x:c r="C28" s="1"/>
      <x:c r="D28" s="1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1"/>
      <x:c r="R28" s="1"/>
    </x:row>
    <x:row r="29" ht="21" customHeight="1">
      <x:c r="A29" s="1"/>
      <x:c r="B29" s="1"/>
      <x:c r="C29" s="1" t="str">
        <x:v>Reference price: Sep 17 close</x:v>
      </x:c>
      <x:c r="D29" s="1"/>
      <x:c r="E29" s="2"/>
      <x:c r="F29" s="14" t="n">
        <x:v>893.61</x:v>
      </x:c>
      <x:c r="G29" s="2"/>
      <x:c r="H29" s="2" t="str">
        <x:v>https://stockanalysis.com/stocks/lite/history/</x:v>
      </x:c>
      <x:c r="I29" s="2"/>
      <x:c r="J29" s="2"/>
      <x:c r="K29" s="2"/>
      <x:c r="L29" s="2"/>
      <x:c r="M29" s="2"/>
      <x:c r="N29" s="2"/>
      <x:c r="O29" s="2"/>
      <x:c r="P29" s="2"/>
      <x:c r="Q29" s="1"/>
      <x:c r="R29" s="1"/>
    </x:row>
    <x:row r="30" ht="21" customHeight="1">
      <x:c r="A30" s="1"/>
      <x:c r="B30" s="1"/>
      <x:c r="C30" s="1" t="str">
        <x:v>FY27 EPS consensus: Aug 31 snapshot</x:v>
      </x:c>
      <x:c r="D30" s="1"/>
      <x:c r="E30" s="2"/>
      <x:c r="F30" s="14" t="n">
        <x:v>21.67</x:v>
      </x:c>
      <x:c r="G30" s="2"/>
      <x:c r="H30" s="2" t="str">
        <x:v>https://stockanalysis.com/stocks/lite/forecast/</x:v>
      </x:c>
      <x:c r="I30" s="2"/>
      <x:c r="J30" s="2"/>
      <x:c r="K30" s="2"/>
      <x:c r="L30" s="2"/>
      <x:c r="M30" s="2"/>
      <x:c r="N30" s="2"/>
      <x:c r="O30" s="2"/>
      <x:c r="P30" s="2"/>
      <x:c r="Q30" s="1"/>
      <x:c r="R30" s="1"/>
    </x:row>
    <x:row r="31" ht="21" customHeight="1">
      <x:c r="A31" s="1"/>
      <x:c r="B31" s="1"/>
      <x:c r="C31" s="1" t="str">
        <x:v>FY27 revenue consensus</x:v>
      </x:c>
      <x:c r="D31" s="1"/>
      <x:c r="E31" s="2"/>
      <x:c r="F31" s="14" t="n">
        <x:v>6320</x:v>
      </x:c>
      <x:c r="G31" s="2"/>
      <x:c r="H31" s="2" t="str">
        <x:v>https://stockanalysis.com/stocks/lite/forecast/</x:v>
      </x:c>
      <x:c r="I31" s="2"/>
      <x:c r="J31" s="2"/>
      <x:c r="K31" s="2"/>
      <x:c r="L31" s="2"/>
      <x:c r="M31" s="2"/>
      <x:c r="N31" s="2"/>
      <x:c r="O31" s="2"/>
      <x:c r="P31" s="2"/>
      <x:c r="Q31" s="1"/>
      <x:c r="R31" s="1"/>
    </x:row>
    <x:row r="32" ht="21" customHeight="1">
      <x:c r="A32" s="1"/>
      <x:c r="B32" s="1"/>
      <x:c r="C32" s="1" t="str">
        <x:v>Q1 revenue guidance low</x:v>
      </x:c>
      <x:c r="D32" s="1"/>
      <x:c r="E32" s="2"/>
      <x:c r="F32" s="14" t="n">
        <x:v>1225</x:v>
      </x:c>
      <x:c r="G32" s="2"/>
      <x:c r="H32" s="2" t="str">
        <x:v>https://investor.lumentum.com/financial-news-releases/news-details/2026/Lumentum-Announces-Fourth-Quarter-and-Full-Fiscal-Year-2026-Results/default.aspx</x:v>
      </x:c>
      <x:c r="I32" s="2"/>
      <x:c r="J32" s="2"/>
      <x:c r="K32" s="2"/>
      <x:c r="L32" s="2"/>
      <x:c r="M32" s="2"/>
      <x:c r="N32" s="2"/>
      <x:c r="O32" s="2"/>
      <x:c r="P32" s="2"/>
      <x:c r="Q32" s="1"/>
      <x:c r="R32" s="1"/>
    </x:row>
    <x:row r="33" ht="21" customHeight="1">
      <x:c r="A33" s="1"/>
      <x:c r="B33" s="1"/>
      <x:c r="C33" s="1" t="str">
        <x:v>Q1 revenue guidance high</x:v>
      </x:c>
      <x:c r="D33" s="1"/>
      <x:c r="E33" s="2"/>
      <x:c r="F33" s="14" t="n">
        <x:v>1275</x:v>
      </x:c>
      <x:c r="G33" s="2"/>
      <x:c r="H33" s="2" t="str">
        <x:v>https://investor.lumentum.com/financial-news-releases/news-details/2026/Lumentum-Announces-Fourth-Quarter-and-Full-Fiscal-Year-2026-Results/default.aspx</x:v>
      </x:c>
      <x:c r="I33" s="2"/>
      <x:c r="J33" s="2"/>
      <x:c r="K33" s="2"/>
      <x:c r="L33" s="2"/>
      <x:c r="M33" s="2"/>
      <x:c r="N33" s="2"/>
      <x:c r="O33" s="2"/>
      <x:c r="P33" s="2"/>
      <x:c r="Q33" s="1"/>
      <x:c r="R33" s="1"/>
    </x:row>
    <x:row r="34" ht="21" customHeight="1">
      <x:c r="A34" s="1"/>
      <x:c r="B34" s="1"/>
      <x:c r="C34" s="1" t="str">
        <x:v>Q1 EPS guidance low</x:v>
      </x:c>
      <x:c r="D34" s="1"/>
      <x:c r="E34" s="2"/>
      <x:c r="F34" s="14" t="n">
        <x:v>4.05</x:v>
      </x:c>
      <x:c r="G34" s="2"/>
      <x:c r="H34" s="2" t="str">
        <x:v>https://investor.lumentum.com/financial-news-releases/news-details/2026/Lumentum-Announces-Fourth-Quarter-and-Full-Fiscal-Year-2026-Results/default.aspx</x:v>
      </x:c>
      <x:c r="I34" s="2"/>
      <x:c r="J34" s="2"/>
      <x:c r="K34" s="2"/>
      <x:c r="L34" s="2"/>
      <x:c r="M34" s="2"/>
      <x:c r="N34" s="2"/>
      <x:c r="O34" s="2"/>
      <x:c r="P34" s="2"/>
      <x:c r="Q34" s="1"/>
      <x:c r="R34" s="1"/>
    </x:row>
    <x:row r="35" ht="21" customHeight="1">
      <x:c r="A35" s="1"/>
      <x:c r="B35" s="1"/>
      <x:c r="C35" s="1" t="str">
        <x:v>Q1 EPS guidance high</x:v>
      </x:c>
      <x:c r="D35" s="1"/>
      <x:c r="E35" s="2"/>
      <x:c r="F35" s="14" t="n">
        <x:v>4.35</x:v>
      </x:c>
      <x:c r="G35" s="2"/>
      <x:c r="H35" s="2" t="str">
        <x:v>https://investor.lumentum.com/financial-news-releases/news-details/2026/Lumentum-Announces-Fourth-Quarter-and-Full-Fiscal-Year-2026-Results/default.aspx</x:v>
      </x:c>
      <x:c r="I35" s="2"/>
      <x:c r="J35" s="2"/>
      <x:c r="K35" s="2"/>
      <x:c r="L35" s="2"/>
      <x:c r="M35" s="2"/>
      <x:c r="N35" s="2"/>
      <x:c r="O35" s="2"/>
      <x:c r="P35" s="2"/>
      <x:c r="Q35" s="1"/>
      <x:c r="R35" s="1"/>
    </x:row>
    <x:row r="36" ht="21" customHeight="1">
      <x:c r="A36" s="1"/>
      <x:c r="B36" s="1"/>
      <x:c r="C36" s="1" t="str">
        <x:v>Q1 adjusted operating margin low</x:v>
      </x:c>
      <x:c r="D36" s="1"/>
      <x:c r="E36" s="2"/>
      <x:c r="F36" s="16" t="n">
        <x:v>0.395</x:v>
      </x:c>
      <x:c r="G36" s="2"/>
      <x:c r="H36" s="2" t="str">
        <x:v>https://investor.lumentum.com/financial-news-releases/news-details/2026/Lumentum-Announces-Fourth-Quarter-and-Full-Fiscal-Year-2026-Results/default.aspx</x:v>
      </x:c>
      <x:c r="I36" s="2"/>
      <x:c r="J36" s="2"/>
      <x:c r="K36" s="2"/>
      <x:c r="L36" s="2"/>
      <x:c r="M36" s="2"/>
      <x:c r="N36" s="2"/>
      <x:c r="O36" s="2"/>
      <x:c r="P36" s="2"/>
      <x:c r="Q36" s="1"/>
      <x:c r="R36" s="1"/>
    </x:row>
    <x:row r="37" ht="21" customHeight="1">
      <x:c r="A37" s="1"/>
      <x:c r="B37" s="1"/>
      <x:c r="C37" s="1" t="str">
        <x:v>Q1 adjusted operating margin high</x:v>
      </x:c>
      <x:c r="D37" s="1"/>
      <x:c r="E37" s="2"/>
      <x:c r="F37" s="16" t="n">
        <x:v>0.405</x:v>
      </x:c>
      <x:c r="G37" s="2"/>
      <x:c r="H37" s="2" t="str">
        <x:v>https://investor.lumentum.com/financial-news-releases/news-details/2026/Lumentum-Announces-Fourth-Quarter-and-Full-Fiscal-Year-2026-Results/default.aspx</x:v>
      </x:c>
      <x:c r="I37" s="2"/>
      <x:c r="J37" s="2"/>
      <x:c r="K37" s="2"/>
      <x:c r="L37" s="2"/>
      <x:c r="M37" s="2"/>
      <x:c r="N37" s="2"/>
      <x:c r="O37" s="2"/>
      <x:c r="P37" s="2"/>
      <x:c r="Q37" s="1"/>
      <x:c r="R37" s="1"/>
    </x:row>
    <x:row r="38" ht="21" customHeight="1">
      <x:c r="A38" s="1"/>
      <x:c r="B38" s="1"/>
      <x:c r="C38" s="1"/>
      <x:c r="D38" s="1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1"/>
      <x:c r="R38" s="1"/>
    </x:row>
    <x:row r="39" ht="21" customHeight="1">
      <x:c r="A39" s="1"/>
      <x:c r="B39" s="1"/>
      <x:c r="C39" s="1"/>
      <x:c r="D39" s="1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1"/>
      <x:c r="R39" s="1"/>
    </x:row>
    <x:row r="40" ht="21" customHeight="1">
      <x:c r="A40" s="1"/>
      <x:c r="B40" s="1"/>
      <x:c r="C40" s="11" t="str">
        <x:v>USD millions, except share prices and EPS. Sources accessed September 18, 2026.</x:v>
      </x:c>
      <x:c r="D40" s="11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"/>
      <x:c r="R40" s="1"/>
    </x:row>
    <x:row r="41" ht="21" customHeight="1">
      <x:c r="A41" s="1"/>
      <x:c r="B41" s="1"/>
      <x:c r="C41" s="11" t="str">
        <x:v>Cash capex excludes the $38m Greensboro business acquisition; no future acquisitions modeled.</x:v>
      </x:c>
      <x:c r="D41" s="11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"/>
      <x:c r="R41" s="1"/>
    </x:row>
    <x:row r="42" ht="21" customHeight="1">
      <x:c r="A42" s="1"/>
      <x:c r="B42" s="1"/>
      <x:c r="C42" s="11" t="str">
        <x:v>GAAP FY26 loss includes a $7.76bn noncash debt conversion charge; excluded from operating forecasts.</x:v>
      </x:c>
      <x:c r="D42" s="11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"/>
      <x:c r="R42" s="1"/>
    </x:row>
    <x:row r="43" ht="21" customHeight="1">
      <x:c r="A43" s="1"/>
      <x:c r="B43" s="1"/>
      <x:c r="C43" s="1"/>
      <x:c r="D43" s="1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1"/>
      <x:c r="R43" s="1"/>
    </x:row>
    <x:row r="44" ht="21" customHeight="1">
      <x:c r="A44" s="1"/>
      <x:c r="B44" s="1"/>
      <x:c r="C44" s="1"/>
      <x:c r="D44" s="1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1"/>
      <x:c r="R44" s="1"/>
    </x:row>
    <x:row r="45" ht="21" customHeight="1">
      <x:c r="A45" s="1"/>
      <x:c r="B45" s="1"/>
      <x:c r="C45" s="1"/>
      <x:c r="D45" s="1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1"/>
      <x:c r="R45" s="1"/>
    </x:row>
    <x:row r="46" ht="21" customHeight="1">
      <x:c r="A46" s="1"/>
      <x:c r="B46" s="1"/>
      <x:c r="C46" s="1"/>
      <x:c r="D46" s="1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1"/>
      <x:c r="R46" s="1"/>
    </x:row>
    <x:row r="47" ht="21" customHeight="1">
      <x:c r="A47" s="1"/>
      <x:c r="B47" s="1"/>
      <x:c r="C47" s="1"/>
      <x:c r="D47" s="1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1"/>
      <x:c r="R47" s="1"/>
    </x:row>
    <x:row r="48" ht="21" customHeight="1">
      <x:c r="A48" s="1"/>
      <x:c r="B48" s="1"/>
      <x:c r="C48" s="1"/>
      <x:c r="D48" s="1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1"/>
      <x:c r="R48" s="1"/>
    </x:row>
    <x:row r="49" ht="21" customHeight="1">
      <x:c r="A49" s="1"/>
      <x:c r="B49" s="1"/>
      <x:c r="C49" s="1"/>
      <x:c r="D49" s="1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1"/>
      <x:c r="R49" s="1"/>
    </x:row>
    <x:row r="50" ht="21" customHeight="1">
      <x:c r="A50" s="1"/>
      <x:c r="B50" s="1"/>
      <x:c r="C50" s="1"/>
      <x:c r="D50" s="1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1"/>
      <x:c r="R50" s="1"/>
    </x:row>
    <x:row r="51" ht="21" customHeight="1">
      <x:c r="A51" s="1"/>
      <x:c r="B51" s="1"/>
      <x:c r="C51" s="1"/>
      <x:c r="D51" s="1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1"/>
      <x:c r="R51" s="1"/>
    </x:row>
    <x:row r="52" ht="21" customHeight="1">
      <x:c r="A52" s="1"/>
      <x:c r="B52" s="1"/>
      <x:c r="C52" s="1"/>
      <x:c r="D52" s="1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1"/>
      <x:c r="R52" s="1"/>
    </x:row>
    <x:row r="53" ht="21" customHeight="1">
      <x:c r="A53" s="1"/>
      <x:c r="B53" s="1"/>
      <x:c r="C53" s="1"/>
      <x:c r="D53" s="1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1"/>
      <x:c r="R53" s="1"/>
    </x:row>
    <x:row r="54" ht="21" customHeight="1">
      <x:c r="A54" s="1"/>
      <x:c r="B54" s="1"/>
      <x:c r="C54" s="1"/>
      <x:c r="D54" s="1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1"/>
      <x:c r="R54" s="1"/>
    </x:row>
    <x:row r="55" ht="21" customHeight="1">
      <x:c r="A55" s="1"/>
      <x:c r="B55" s="1"/>
      <x:c r="C55" s="1"/>
      <x:c r="D55" s="1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1"/>
      <x:c r="R55" s="1"/>
    </x:row>
    <x:row r="56" ht="21" customHeight="1">
      <x:c r="A56" s="1"/>
      <x:c r="B56" s="1"/>
      <x:c r="C56" s="1"/>
      <x:c r="D56" s="1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1"/>
      <x:c r="R56" s="1"/>
    </x:row>
    <x:row r="57" ht="21" customHeight="1">
      <x:c r="A57" s="1"/>
      <x:c r="B57" s="1"/>
      <x:c r="C57" s="1"/>
      <x:c r="D57" s="1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1"/>
      <x:c r="R57" s="1"/>
    </x:row>
    <x:row r="58" ht="21" customHeight="1">
      <x:c r="A58" s="1"/>
      <x:c r="B58" s="1"/>
      <x:c r="C58" s="1"/>
      <x:c r="D58" s="1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1"/>
      <x:c r="R58" s="1"/>
    </x:row>
    <x:row r="59" ht="21" customHeight="1">
      <x:c r="A59" s="1"/>
      <x:c r="B59" s="1"/>
      <x:c r="C59" s="1"/>
      <x:c r="D59" s="1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1"/>
      <x:c r="R59" s="1"/>
    </x:row>
    <x:row r="60" ht="21" customHeight="1">
      <x:c r="A60" s="1"/>
      <x:c r="B60" s="1"/>
      <x:c r="C60" s="1"/>
      <x:c r="D60" s="1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1"/>
      <x:c r="R60" s="1"/>
    </x:row>
    <x:row r="61" ht="21" customHeight="1">
      <x:c r="A61" s="1"/>
      <x:c r="B61" s="1"/>
      <x:c r="C61" s="1"/>
      <x:c r="D61" s="1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1"/>
      <x:c r="R61" s="1"/>
    </x:row>
    <x:row r="62" ht="21" customHeight="1">
      <x:c r="A62" s="1"/>
      <x:c r="B62" s="1"/>
      <x:c r="C62" s="1"/>
      <x:c r="D62" s="1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1"/>
      <x:c r="R62" s="1"/>
    </x:row>
    <x:row r="63" ht="21" customHeight="1">
      <x:c r="A63" s="1"/>
      <x:c r="B63" s="1"/>
      <x:c r="C63" s="1"/>
      <x:c r="D63" s="1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1"/>
      <x:c r="R63" s="1"/>
    </x:row>
    <x:row r="64" ht="21" customHeight="1">
      <x:c r="A64" s="1"/>
      <x:c r="B64" s="1"/>
      <x:c r="C64" s="1"/>
      <x:c r="D64" s="1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1"/>
      <x:c r="R64" s="1"/>
    </x:row>
    <x:row r="65" ht="21" customHeight="1">
      <x:c r="A65" s="1"/>
      <x:c r="B65" s="1"/>
      <x:c r="C65" s="1"/>
      <x:c r="D65" s="1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1"/>
      <x:c r="R65" s="1"/>
    </x:row>
    <x:row r="66" ht="21" customHeight="1">
      <x:c r="A66" s="1"/>
      <x:c r="B66" s="1"/>
      <x:c r="C66" s="1"/>
      <x:c r="D66" s="1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1"/>
      <x:c r="R66" s="1"/>
    </x:row>
    <x:row r="67" ht="21" customHeight="1">
      <x:c r="A67" s="1"/>
      <x:c r="B67" s="1"/>
      <x:c r="C67" s="1"/>
      <x:c r="D67" s="1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1"/>
      <x:c r="R67" s="1"/>
    </x:row>
    <x:row r="68" ht="21" customHeight="1">
      <x:c r="A68" s="1"/>
      <x:c r="B68" s="1"/>
      <x:c r="C68" s="1"/>
      <x:c r="D68" s="1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1"/>
      <x:c r="R68" s="1"/>
    </x:row>
    <x:row r="69" ht="21" customHeight="1">
      <x:c r="A69" s="1"/>
      <x:c r="B69" s="1"/>
      <x:c r="C69" s="1"/>
      <x:c r="D69" s="1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1"/>
      <x:c r="R69" s="1"/>
    </x:row>
    <x:row r="70" ht="21" customHeight="1">
      <x:c r="A70" s="1"/>
      <x:c r="B70" s="1"/>
      <x:c r="C70" s="1"/>
      <x:c r="D70" s="1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1"/>
      <x:c r="R70" s="1"/>
    </x:row>
    <x:row r="71" ht="21" customHeight="1">
      <x:c r="A71" s="1"/>
      <x:c r="B71" s="1"/>
      <x:c r="C71" s="1"/>
      <x:c r="D71" s="1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1"/>
      <x:c r="R71" s="1"/>
    </x:row>
    <x:row r="72" ht="21" customHeight="1">
      <x:c r="A72" s="1"/>
      <x:c r="B72" s="1"/>
      <x:c r="C72" s="1"/>
      <x:c r="D72" s="1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1"/>
      <x:c r="R72" s="1"/>
    </x:row>
    <x:row r="73" ht="21" customHeight="1">
      <x:c r="A73" s="1"/>
      <x:c r="B73" s="1"/>
      <x:c r="C73" s="1"/>
      <x:c r="D73" s="1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1"/>
      <x:c r="R73" s="1"/>
    </x:row>
    <x:row r="74" ht="21" customHeight="1">
      <x:c r="A74" s="1"/>
      <x:c r="B74" s="1"/>
      <x:c r="C74" s="1"/>
      <x:c r="D74" s="1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1"/>
      <x:c r="R74" s="1"/>
    </x:row>
    <x:row r="75" ht="21" customHeight="1">
      <x:c r="A75" s="1"/>
      <x:c r="B75" s="1"/>
      <x:c r="C75" s="1"/>
      <x:c r="D75" s="1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1"/>
      <x:c r="R75" s="1"/>
    </x:row>
    <x:row r="76" ht="21" customHeight="1">
      <x:c r="A76" s="1"/>
      <x:c r="B76" s="1"/>
      <x:c r="C76" s="1"/>
      <x:c r="D76" s="1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1"/>
      <x:c r="R76" s="1"/>
    </x:row>
    <x:row r="77" ht="21" customHeight="1">
      <x:c r="A77" s="1"/>
      <x:c r="B77" s="1"/>
      <x:c r="C77" s="1"/>
      <x:c r="D77" s="1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1"/>
      <x:c r="R77" s="1"/>
    </x:row>
    <x:row r="78" ht="21" customHeight="1">
      <x:c r="A78" s="1"/>
      <x:c r="B78" s="1"/>
      <x:c r="C78" s="1"/>
      <x:c r="D78" s="1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1"/>
      <x:c r="R78" s="1"/>
    </x:row>
    <x:row r="79" ht="21" customHeight="1">
      <x:c r="A79" s="1"/>
      <x:c r="B79" s="1"/>
      <x:c r="C79" s="1"/>
      <x:c r="D79" s="1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1"/>
      <x:c r="R79" s="1"/>
    </x:row>
    <x:row r="80" ht="21" customHeight="1">
      <x:c r="A80" s="1"/>
      <x:c r="B80" s="1"/>
      <x:c r="C80" s="1"/>
      <x:c r="D80" s="1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1"/>
      <x:c r="R80" s="1"/>
    </x:row>
    <x:row r="81" ht="21" customHeight="1">
      <x:c r="A81" s="1"/>
      <x:c r="B81" s="1"/>
      <x:c r="C81" s="1"/>
      <x:c r="D81" s="1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1"/>
      <x:c r="R81" s="1"/>
    </x:row>
    <x:row r="82" ht="21" customHeight="1">
      <x:c r="A82" s="1"/>
      <x:c r="B82" s="1"/>
      <x:c r="C82" s="1"/>
      <x:c r="D82" s="1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1"/>
      <x:c r="R82" s="1"/>
    </x:row>
    <x:row r="83" ht="21" customHeight="1">
      <x:c r="A83" s="1"/>
      <x:c r="B83" s="1"/>
      <x:c r="C83" s="1"/>
      <x:c r="D83" s="1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1"/>
      <x:c r="R83" s="1"/>
    </x:row>
    <x:row r="84" ht="21" customHeight="1">
      <x:c r="A84" s="1"/>
      <x:c r="B84" s="1"/>
      <x:c r="C84" s="1"/>
      <x:c r="D84" s="1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1"/>
      <x:c r="R84" s="1"/>
    </x:row>
    <x:row r="85" ht="21" customHeight="1">
      <x:c r="A85" s="1"/>
      <x:c r="B85" s="1"/>
      <x:c r="C85" s="1"/>
      <x:c r="D85" s="1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1"/>
      <x:c r="R85" s="1"/>
    </x:row>
    <x:row r="86" ht="21" customHeight="1">
      <x:c r="A86" s="1"/>
      <x:c r="B86" s="1"/>
      <x:c r="C86" s="1"/>
      <x:c r="D86" s="1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1"/>
      <x:c r="R86" s="1"/>
    </x:row>
    <x:row r="87" ht="21" customHeight="1">
      <x:c r="A87" s="1"/>
      <x:c r="B87" s="1"/>
      <x:c r="C87" s="1"/>
      <x:c r="D87" s="1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1"/>
      <x:c r="R87" s="1"/>
    </x:row>
    <x:row r="88" ht="21" customHeight="1">
      <x:c r="A88" s="1"/>
      <x:c r="B88" s="1"/>
      <x:c r="C88" s="1"/>
      <x:c r="D88" s="1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1"/>
      <x:c r="R88" s="1"/>
    </x:row>
    <x:row r="89" ht="21" customHeight="1">
      <x:c r="A89" s="1"/>
      <x:c r="B89" s="1"/>
      <x:c r="C89" s="1"/>
      <x:c r="D89" s="1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1"/>
      <x:c r="R89" s="1"/>
    </x:row>
    <x:row r="90" ht="21" customHeight="1">
      <x:c r="A90" s="1"/>
      <x:c r="B90" s="1"/>
      <x:c r="C90" s="1"/>
      <x:c r="D90" s="1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1"/>
      <x:c r="R90" s="1"/>
    </x:row>
    <x:row r="91" ht="21" customHeight="1">
      <x:c r="A91" s="1"/>
      <x:c r="B91" s="1"/>
      <x:c r="C91" s="1"/>
      <x:c r="D91" s="1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1"/>
      <x:c r="R91" s="1"/>
    </x:row>
    <x:row r="92" ht="21" customHeight="1">
      <x:c r="A92" s="1"/>
      <x:c r="B92" s="1"/>
      <x:c r="C92" s="1"/>
      <x:c r="D92" s="1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1"/>
      <x:c r="R92" s="1"/>
    </x:row>
    <x:row r="93" ht="21" customHeight="1">
      <x:c r="A93" s="1"/>
      <x:c r="B93" s="1"/>
      <x:c r="C93" s="1"/>
      <x:c r="D93" s="1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1"/>
      <x:c r="R93" s="1"/>
    </x:row>
    <x:row r="94" ht="21" customHeight="1">
      <x:c r="A94" s="1"/>
      <x:c r="B94" s="1"/>
      <x:c r="C94" s="1"/>
      <x:c r="D94" s="1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1"/>
      <x:c r="R94" s="1"/>
    </x:row>
    <x:row r="95" ht="21" customHeight="1">
      <x:c r="A95" s="1"/>
      <x:c r="B95" s="1"/>
      <x:c r="C95" s="1"/>
      <x:c r="D95" s="1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1"/>
      <x:c r="R95" s="1"/>
    </x:row>
    <x:row r="96" ht="21" customHeight="1">
      <x:c r="A96" s="1"/>
      <x:c r="B96" s="1"/>
      <x:c r="C96" s="1"/>
      <x:c r="D96" s="1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1"/>
      <x:c r="R96" s="1"/>
    </x:row>
    <x:row r="97" ht="21" customHeight="1">
      <x:c r="A97" s="1"/>
      <x:c r="B97" s="1"/>
      <x:c r="C97" s="1"/>
      <x:c r="D97" s="1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1"/>
      <x:c r="R97" s="1"/>
    </x:row>
    <x:row r="98" ht="21" customHeight="1">
      <x:c r="A98" s="1"/>
      <x:c r="B98" s="1"/>
      <x:c r="C98" s="1"/>
      <x:c r="D98" s="1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1"/>
      <x:c r="R98" s="1"/>
    </x:row>
    <x:row r="99" ht="21" customHeight="1">
      <x:c r="A99" s="1"/>
      <x:c r="B99" s="1"/>
      <x:c r="C99" s="1"/>
      <x:c r="D99" s="1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1"/>
      <x:c r="R99" s="1"/>
    </x:row>
    <x:row r="100" ht="21" customHeight="1">
      <x:c r="A100" s="1"/>
      <x:c r="B100" s="1"/>
      <x:c r="C100" s="1"/>
      <x:c r="D100" s="1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1"/>
      <x:c r="R100" s="1"/>
    </x:row>
    <x:row r="101" ht="21" customHeight="1">
      <x:c r="A101" s="1"/>
      <x:c r="B101" s="1"/>
      <x:c r="C101" s="1"/>
      <x:c r="D101" s="1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1"/>
      <x:c r="R101" s="1"/>
    </x:row>
    <x:row r="102" ht="21" customHeight="1">
      <x:c r="A102" s="1"/>
      <x:c r="B102" s="1"/>
      <x:c r="C102" s="1"/>
      <x:c r="D102" s="1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1"/>
      <x:c r="R102" s="1"/>
    </x:row>
    <x:row r="103" ht="21" customHeight="1">
      <x:c r="A103" s="1"/>
      <x:c r="B103" s="1"/>
      <x:c r="C103" s="1"/>
      <x:c r="D103" s="1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1"/>
      <x:c r="R103" s="1"/>
    </x:row>
    <x:row r="104" ht="21" customHeight="1">
      <x:c r="A104" s="1"/>
      <x:c r="B104" s="1"/>
      <x:c r="C104" s="1"/>
      <x:c r="D104" s="1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1"/>
      <x:c r="R104" s="1"/>
    </x:row>
    <x:row r="105" ht="21" customHeight="1">
      <x:c r="A105" s="1"/>
      <x:c r="B105" s="1"/>
      <x:c r="C105" s="1"/>
      <x:c r="D105" s="1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1"/>
      <x:c r="R105" s="1"/>
    </x:row>
    <x:row r="106" ht="21" customHeight="1">
      <x:c r="A106" s="1"/>
      <x:c r="B106" s="1"/>
      <x:c r="C106" s="1"/>
      <x:c r="D106" s="1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1"/>
      <x:c r="R106" s="1"/>
    </x:row>
    <x:row r="107" ht="21" customHeight="1">
      <x:c r="A107" s="1"/>
      <x:c r="B107" s="1"/>
      <x:c r="C107" s="1"/>
      <x:c r="D107" s="1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1"/>
      <x:c r="R107" s="1"/>
    </x:row>
    <x:row r="108" ht="21" customHeight="1">
      <x:c r="A108" s="1"/>
      <x:c r="B108" s="1"/>
      <x:c r="C108" s="1"/>
      <x:c r="D108" s="1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1"/>
      <x:c r="R108" s="1"/>
    </x:row>
    <x:row r="109" ht="21" customHeight="1">
      <x:c r="A109" s="1"/>
      <x:c r="B109" s="1"/>
      <x:c r="C109" s="1"/>
      <x:c r="D109" s="1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1"/>
      <x:c r="R109" s="1"/>
    </x:row>
    <x:row r="110" ht="21" customHeight="1">
      <x:c r="A110" s="1"/>
      <x:c r="B110" s="1"/>
      <x:c r="C110" s="1"/>
      <x:c r="D110" s="1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1"/>
      <x:c r="R110" s="1"/>
    </x:row>
    <x:row r="111" ht="21" customHeight="1">
      <x:c r="A111" s="1"/>
      <x:c r="B111" s="1"/>
      <x:c r="C111" s="1"/>
      <x:c r="D111" s="1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1"/>
      <x:c r="R111" s="1"/>
    </x:row>
    <x:row r="112" ht="21" customHeight="1">
      <x:c r="A112" s="1"/>
      <x:c r="B112" s="1"/>
      <x:c r="C112" s="1"/>
      <x:c r="D112" s="1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1"/>
      <x:c r="R112" s="1"/>
    </x:row>
    <x:row r="113" ht="21" customHeight="1">
      <x:c r="A113" s="1"/>
      <x:c r="B113" s="1"/>
      <x:c r="C113" s="1"/>
      <x:c r="D113" s="1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1"/>
      <x:c r="R113" s="1"/>
    </x:row>
    <x:row r="114" ht="21" customHeight="1">
      <x:c r="A114" s="1"/>
      <x:c r="B114" s="1"/>
      <x:c r="C114" s="1"/>
      <x:c r="D114" s="1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1"/>
      <x:c r="R114" s="1"/>
    </x:row>
    <x:row r="115" ht="21" customHeight="1">
      <x:c r="A115" s="1"/>
      <x:c r="B115" s="1"/>
      <x:c r="C115" s="1"/>
      <x:c r="D115" s="1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1"/>
      <x:c r="R115" s="1"/>
    </x:row>
    <x:row r="116" ht="21" customHeight="1">
      <x:c r="A116" s="1"/>
      <x:c r="B116" s="1"/>
      <x:c r="C116" s="1"/>
      <x:c r="D116" s="1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1"/>
      <x:c r="R116" s="1"/>
    </x:row>
    <x:row r="117" ht="21" customHeight="1">
      <x:c r="A117" s="1"/>
      <x:c r="B117" s="1"/>
      <x:c r="C117" s="1"/>
      <x:c r="D117" s="1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1"/>
      <x:c r="R117" s="1"/>
    </x:row>
    <x:row r="118" ht="21" customHeight="1">
      <x:c r="A118" s="1"/>
      <x:c r="B118" s="1"/>
      <x:c r="C118" s="1"/>
      <x:c r="D118" s="1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1"/>
      <x:c r="R118" s="1"/>
    </x:row>
    <x:row r="119" ht="21" customHeight="1">
      <x:c r="A119" s="1"/>
      <x:c r="B119" s="1"/>
      <x:c r="C119" s="1"/>
      <x:c r="D119" s="1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1"/>
      <x:c r="R119" s="1"/>
    </x:row>
    <x:row r="120" ht="21" customHeight="1">
      <x:c r="A120" s="1"/>
      <x:c r="B120" s="1"/>
      <x:c r="C120" s="1"/>
      <x:c r="D120" s="1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1"/>
      <x:c r="R120" s="1"/>
    </x:row>
    <x:row r="121" ht="21" customHeight="1">
      <x:c r="A121" s="1"/>
      <x:c r="B121" s="1"/>
      <x:c r="C121" s="1"/>
      <x:c r="D121" s="1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1"/>
      <x:c r="R121" s="1"/>
    </x:row>
    <x:row r="122" ht="21" customHeight="1">
      <x:c r="A122" s="1"/>
      <x:c r="B122" s="1"/>
      <x:c r="C122" s="1"/>
      <x:c r="D122" s="1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1"/>
      <x:c r="R122" s="1"/>
    </x:row>
    <x:row r="123" ht="21" customHeight="1">
      <x:c r="A123" s="1"/>
      <x:c r="B123" s="1"/>
      <x:c r="C123" s="1"/>
      <x:c r="D123" s="1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1"/>
      <x:c r="R123" s="1"/>
    </x:row>
    <x:row r="124" ht="21" customHeight="1">
      <x:c r="A124" s="1"/>
      <x:c r="B124" s="1"/>
      <x:c r="C124" s="1"/>
      <x:c r="D124" s="1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1"/>
      <x:c r="R124" s="1"/>
    </x:row>
    <x:row r="125" ht="21" customHeight="1">
      <x:c r="A125" s="1"/>
      <x:c r="B125" s="1"/>
      <x:c r="C125" s="1"/>
      <x:c r="D125" s="1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1"/>
      <x:c r="R125" s="1"/>
    </x:row>
    <x:row r="126" ht="21" customHeight="1">
      <x:c r="A126" s="1"/>
      <x:c r="B126" s="1"/>
      <x:c r="C126" s="1"/>
      <x:c r="D126" s="1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1"/>
      <x:c r="R126" s="1"/>
    </x:row>
    <x:row r="127" ht="21" customHeight="1">
      <x:c r="A127" s="1"/>
      <x:c r="B127" s="1"/>
      <x:c r="C127" s="1"/>
      <x:c r="D127" s="1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1"/>
      <x:c r="R127" s="1"/>
    </x:row>
    <x:row r="128" ht="21" customHeight="1">
      <x:c r="A128" s="1"/>
      <x:c r="B128" s="1"/>
      <x:c r="C128" s="1"/>
      <x:c r="D128" s="1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1"/>
      <x:c r="R128" s="1"/>
    </x:row>
    <x:row r="129" ht="21" customHeight="1">
      <x:c r="A129" s="1"/>
      <x:c r="B129" s="1"/>
      <x:c r="C129" s="1"/>
      <x:c r="D129" s="1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1"/>
      <x:c r="R129" s="1"/>
    </x:row>
    <x:row r="130" ht="21" customHeight="1">
      <x:c r="A130" s="1"/>
      <x:c r="B130" s="1"/>
      <x:c r="C130" s="1"/>
      <x:c r="D130" s="1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1"/>
      <x:c r="R130" s="1"/>
    </x:row>
    <x:row r="131" ht="21" customHeight="1">
      <x:c r="A131" s="1"/>
      <x:c r="B131" s="1"/>
      <x:c r="C131" s="1"/>
      <x:c r="D131" s="1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1"/>
      <x:c r="R131" s="1"/>
    </x:row>
    <x:row r="132" ht="21" customHeight="1">
      <x:c r="A132" s="1"/>
      <x:c r="B132" s="1"/>
      <x:c r="C132" s="1"/>
      <x:c r="D132" s="1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1"/>
      <x:c r="R132" s="1"/>
    </x:row>
    <x:row r="133" ht="21" customHeight="1">
      <x:c r="A133" s="1"/>
      <x:c r="B133" s="1"/>
      <x:c r="C133" s="1"/>
      <x:c r="D133" s="1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1"/>
      <x:c r="R133" s="1"/>
    </x:row>
    <x:row r="134" ht="21" customHeight="1">
      <x:c r="A134" s="1"/>
      <x:c r="B134" s="1"/>
      <x:c r="C134" s="1"/>
      <x:c r="D134" s="1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1"/>
      <x:c r="R134" s="1"/>
    </x:row>
    <x:row r="135" ht="21" customHeight="1">
      <x:c r="A135" s="1"/>
      <x:c r="B135" s="1"/>
      <x:c r="C135" s="1"/>
      <x:c r="D135" s="1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1"/>
      <x:c r="R135" s="1"/>
    </x:row>
    <x:row r="136" ht="21" customHeight="1">
      <x:c r="A136" s="1"/>
      <x:c r="B136" s="1"/>
      <x:c r="C136" s="1"/>
      <x:c r="D136" s="1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1"/>
      <x:c r="R136" s="1"/>
    </x:row>
    <x:row r="137" ht="21" customHeight="1">
      <x:c r="A137" s="1"/>
      <x:c r="B137" s="1"/>
      <x:c r="C137" s="1"/>
      <x:c r="D137" s="1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1"/>
      <x:c r="R137" s="1"/>
    </x:row>
    <x:row r="138" ht="21" customHeight="1">
      <x:c r="A138" s="1"/>
      <x:c r="B138" s="1"/>
      <x:c r="C138" s="1"/>
      <x:c r="D138" s="1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1"/>
      <x:c r="R138" s="1"/>
    </x:row>
    <x:row r="139" ht="21" customHeight="1">
      <x:c r="A139" s="1"/>
      <x:c r="B139" s="1"/>
      <x:c r="C139" s="1"/>
      <x:c r="D139" s="1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1"/>
      <x:c r="R139" s="1"/>
    </x:row>
    <x:row r="140" ht="21" customHeight="1">
      <x:c r="A140" s="1"/>
      <x:c r="B140" s="1"/>
      <x:c r="C140" s="1"/>
      <x:c r="D140" s="1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1"/>
      <x:c r="R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51" hidden="0" customWidth="1"/>
    <x:col min="4" max="4" width="3" hidden="0" customWidth="1"/>
    <x:col min="5" max="5" width="98" hidden="0" customWidth="1"/>
    <x:col min="6" max="6" width="45" hidden="0" customWidth="1"/>
    <x:col min="7" max="7" width="45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1" customHeight="1">
      <x:c r="A2" s="1"/>
      <x:c r="B2" s="1"/>
      <x:c r="C2" s="3" t="str">
        <x:v>Lumentum | Evidence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1"/>
      <x:c r="R2" s="1"/>
    </x:row>
    <x:row r="3" ht="21" customHeight="1">
      <x:c r="A3" s="1"/>
      <x:c r="B3" s="1"/>
      <x:c r="C3" s="1" t="str">
        <x:v>USD millions, except EPS and share prices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1" customHeight="1">
      <x:c r="A4" s="1"/>
      <x:c r="B4" s="1"/>
      <x:c r="C4" s="1" t="str">
        <x:v>Case selected</x:v>
      </x:c>
      <x:c r="D4" s="1"/>
      <x:c r="E4" s="40" t="str">
        <x:f>'Assumptions'!F4</x:f>
        <x:v>Base</x:v>
      </x:c>
      <x:c r="F4" s="4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23" customHeight="1">
      <x:c r="A6" s="1"/>
      <x:c r="B6" s="1"/>
      <x:c r="C6" s="8" t="str">
        <x:v>Historical safety announcements</x:v>
      </x:c>
      <x:c r="D6" s="8"/>
      <x:c r="E6" s="9"/>
      <x:c r="F6" s="9"/>
      <x:c r="G6" s="9"/>
      <x:c r="H6" s="9"/>
      <x:c r="I6" s="9"/>
      <x:c r="J6" s="9"/>
      <x:c r="K6" s="9"/>
      <x:c r="L6" s="2"/>
      <x:c r="M6" s="2"/>
      <x:c r="N6" s="2"/>
      <x:c r="O6" s="2"/>
      <x:c r="P6" s="2"/>
      <x:c r="Q6" s="1"/>
      <x:c r="R6" s="1"/>
    </x:row>
    <x:row r="7" ht="21" customHeight="1">
      <x:c r="A7" s="1"/>
      <x:c r="B7" s="1"/>
      <x:c r="C7" s="1" t="str">
        <x:v>Event / claim</x:v>
      </x:c>
      <x:c r="D7" s="1" t="str"/>
      <x:c r="E7" s="2" t="str">
        <x:v>Evidence and interpretation</x:v>
      </x:c>
      <x:c r="F7" s="2" t="str">
        <x:v>Source 1</x:v>
      </x:c>
      <x:c r="G7" s="2" t="str">
        <x:v>Source 2</x:v>
      </x:c>
      <x:c r="H7" s="2"/>
      <x:c r="I7" s="2"/>
      <x:c r="J7" s="2"/>
      <x:c r="K7" s="2"/>
      <x:c r="L7" s="2"/>
      <x:c r="M7" s="2"/>
      <x:c r="N7" s="2"/>
      <x:c r="O7" s="2"/>
      <x:c r="P7" s="2"/>
      <x:c r="Q7" s="1"/>
      <x:c r="R7" s="1"/>
    </x:row>
    <x:row r="8" ht="64" customHeight="1">
      <x:c r="A8" s="1"/>
      <x:c r="B8" s="1"/>
      <x:c r="C8" s="26" t="str">
        <x:v>September 2023: Anthropic RSP</x:v>
      </x:c>
      <x:c r="D8" s="26"/>
      <x:c r="E8" s="27" t="str">
        <x:v>Conditional training pause if safeguards fail. November 2024 AWS partnership added $4bn, total $8bn. Financing, not capex.</x:v>
      </x:c>
      <x:c r="F8" s="27" t="str">
        <x:v>https://www.anthropic.com/news/anthropics-responsible-scaling-policy</x:v>
      </x:c>
      <x:c r="G8" s="27" t="str">
        <x:v>https://www.anthropic.com/news/anthropic-amazon-trainium</x:v>
      </x:c>
      <x:c r="H8" s="2"/>
      <x:c r="I8" s="2"/>
      <x:c r="J8" s="2"/>
      <x:c r="K8" s="2"/>
      <x:c r="L8" s="2"/>
      <x:c r="M8" s="2"/>
      <x:c r="N8" s="2"/>
      <x:c r="O8" s="2"/>
      <x:c r="P8" s="2"/>
      <x:c r="Q8" s="1"/>
      <x:c r="R8" s="1"/>
    </x:row>
    <x:row r="9" ht="64" customHeight="1">
      <x:c r="A9" s="1"/>
      <x:c r="B9" s="1"/>
      <x:c r="C9" s="26" t="str">
        <x:v>November 2023: Bletchley Declaration</x:v>
      </x:c>
      <x:c r="D9" s="26"/>
      <x:c r="E9" s="27" t="str">
        <x:v>Risk coordination coexisted with Microsoft cash PP&amp;E rising $28.1bn FY23 to $44.5bn FY24 (+58%). Fiscal window overlaps event.</x:v>
      </x:c>
      <x:c r="F9" s="27" t="str">
        <x:v>https://www.gov.uk/government/publications/ai-safety-summit-2023-the-bletchley-declaration/the-bletchley-declaration-by-countries-attending-the-ai-safety-summit-1-2-november-2023</x:v>
      </x:c>
      <x:c r="G9" s="27" t="str">
        <x:v>https://www.microsoft.com/en-us/Investor/earnings/FY-2024-Q4/cash-flows</x:v>
      </x:c>
      <x:c r="H9" s="2"/>
      <x:c r="I9" s="2"/>
      <x:c r="J9" s="2"/>
      <x:c r="K9" s="2"/>
      <x:c r="L9" s="2"/>
      <x:c r="M9" s="2"/>
      <x:c r="N9" s="2"/>
      <x:c r="O9" s="2"/>
      <x:c r="P9" s="2"/>
      <x:c r="Q9" s="1"/>
      <x:c r="R9" s="1"/>
    </x:row>
    <x:row r="10" ht="64" customHeight="1">
      <x:c r="A10" s="1"/>
      <x:c r="B10" s="1"/>
      <x:c r="C10" s="26" t="str">
        <x:v>May 2024: Seoul commitments</x:v>
      </x:c>
      <x:c r="D10" s="26"/>
      <x:c r="E10" s="27" t="str">
        <x:v>Extreme cases require no development/deployment without mitigation. Microsoft cash PP&amp;E rose $44.5bn FY24 to $64.6bn FY25 (+45%).</x:v>
      </x:c>
      <x:c r="F10" s="27" t="str">
        <x:v>https://www.gov.uk/government/publications/frontier-ai-safety-commitments-ai-seoul-summit-2024/frontier-ai-safety-commitments-ai-seoul-summit-2024</x:v>
      </x:c>
      <x:c r="G10" s="27" t="str">
        <x:v>https://www.microsoft.com/en-us/Investor/earnings/FY-2025-Q4/cash-flows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1"/>
      <x:c r="R10" s="1"/>
    </x:row>
    <x:row r="11" ht="64" customHeight="1">
      <x:c r="A11" s="1"/>
      <x:c r="B11" s="1"/>
      <x:c r="C11" s="26" t="str">
        <x:v>Interpretation</x:v>
      </x:c>
      <x:c r="D11" s="26"/>
      <x:c r="E11" s="27" t="str">
        <x:v>These overlapping examples reject inevitability of contraction. They are not independent causal estimates or training-only measures.</x:v>
      </x:c>
      <x:c r="F11" s="27" t="str"/>
      <x:c r="G11" s="27" t="str"/>
      <x:c r="H11" s="2"/>
      <x:c r="I11" s="2"/>
      <x:c r="J11" s="2"/>
      <x:c r="K11" s="2"/>
      <x:c r="L11" s="2"/>
      <x:c r="M11" s="2"/>
      <x:c r="N11" s="2"/>
      <x:c r="O11" s="2"/>
      <x:c r="P11" s="2"/>
      <x:c r="Q11" s="1"/>
      <x:c r="R11" s="1"/>
    </x:row>
    <x:row r="12" ht="64" customHeight="1">
      <x:c r="A12" s="1"/>
      <x:c r="B12" s="1"/>
      <x:c r="C12" s="26" t="str">
        <x:v>September 2026 proposal</x:v>
      </x:c>
      <x:c r="D12" s="26"/>
      <x:c r="E12" s="27" t="str">
        <x:v>Explicit training-compute restrictions are discussed. Historical commitments are weaker analogues; no zero-impact coefficient assumed.</x:v>
      </x:c>
      <x:c r="F12" s="27" t="str">
        <x:v>https://darioamodei.com/post/we-must-pace-the-frontier</x:v>
      </x:c>
      <x:c r="G12" s="27" t="str"/>
      <x:c r="H12" s="2"/>
      <x:c r="I12" s="2"/>
      <x:c r="J12" s="2"/>
      <x:c r="K12" s="2"/>
      <x:c r="L12" s="2"/>
      <x:c r="M12" s="2"/>
      <x:c r="N12" s="2"/>
      <x:c r="O12" s="2"/>
      <x:c r="P12" s="2"/>
      <x:c r="Q12" s="1"/>
      <x:c r="R12" s="1"/>
    </x:row>
    <x:row r="13" ht="64" customHeight="1">
      <x:c r="A13" s="1"/>
      <x:c r="B13" s="1"/>
      <x:c r="C13" s="26" t="str">
        <x:v>Components / advanced lasers</x:v>
      </x:c>
      <x:c r="D13" s="26"/>
      <x:c r="E13" s="27" t="str">
        <x:v>Q4 components $649.4m; demand for ultra-high-power lasers, ELS and NPO supports content growth. No disclosed SKU sales split.</x:v>
      </x:c>
      <x:c r="F13" s="27" t="str">
        <x:v>https://investor.lumentum.com/financial-news-releases/news-details/2026/Lumentum-Announces-Fourth-Quarter-and-Full-Fiscal-Year-2026-Results/default.aspx</x:v>
      </x:c>
      <x:c r="G13" s="27" t="str"/>
      <x:c r="H13" s="2"/>
      <x:c r="I13" s="2"/>
      <x:c r="J13" s="2"/>
      <x:c r="K13" s="2"/>
      <x:c r="L13" s="2"/>
      <x:c r="M13" s="2"/>
      <x:c r="N13" s="2"/>
      <x:c r="O13" s="2"/>
      <x:c r="P13" s="2"/>
      <x:c r="Q13" s="1"/>
      <x:c r="R13" s="1"/>
    </x:row>
    <x:row r="14" ht="64" customHeight="1">
      <x:c r="A14" s="1"/>
      <x:c r="B14" s="1"/>
      <x:c r="C14" s="26" t="str">
        <x:v>Systems / modules / OCS</x:v>
      </x:c>
      <x:c r="D14" s="26"/>
      <x:c r="E14" s="27" t="str">
        <x:v>Q4 systems $356.9m; 1.6T module adoption and optical switching are cited growth drivers. Scenario growth is not confirmed backlog.</x:v>
      </x:c>
      <x:c r="F14" s="27" t="str">
        <x:v>https://investor.lumentum.com/financial-news-releases/news-details/2026/Lumentum-Announces-Fourth-Quarter-and-Full-Fiscal-Year-2026-Results/default.aspx</x:v>
      </x:c>
      <x:c r="G14" s="27" t="str"/>
      <x:c r="H14" s="2"/>
      <x:c r="I14" s="2"/>
      <x:c r="J14" s="2"/>
      <x:c r="K14" s="2"/>
      <x:c r="L14" s="2"/>
      <x:c r="M14" s="2"/>
      <x:c r="N14" s="2"/>
      <x:c r="O14" s="2"/>
      <x:c r="P14" s="2"/>
      <x:c r="Q14" s="1"/>
      <x:c r="R14" s="1"/>
    </x:row>
    <x:row r="15" ht="64" customHeight="1">
      <x:c r="A15" s="1"/>
      <x:c r="B15" s="1"/>
      <x:c r="C15" s="26" t="str">
        <x:v>NVIDIA agreement</x:v>
      </x:c>
      <x:c r="D15" s="26"/>
      <x:c r="E15" s="27" t="str">
        <x:v>Nonexclusive multi-year purchase commitment, capacity rights and $2bn investment. No public quarter-by-quarter guaranteed revenue.</x:v>
      </x:c>
      <x:c r="F15" s="27" t="str">
        <x:v>https://nvidianews.nvidia.com/news/nvidia-announces-strategic-partnership-with-lumentum-to-develop-state-of-the-art-optics-technology</x:v>
      </x:c>
      <x:c r="G15" s="27" t="str"/>
      <x:c r="H15" s="2"/>
      <x:c r="I15" s="2"/>
      <x:c r="J15" s="2"/>
      <x:c r="K15" s="2"/>
      <x:c r="L15" s="2"/>
      <x:c r="M15" s="2"/>
      <x:c r="N15" s="2"/>
      <x:c r="O15" s="2"/>
      <x:c r="P15" s="2"/>
      <x:c r="Q15" s="1"/>
      <x:c r="R15" s="1"/>
    </x:row>
    <x:row r="16" ht="64" customHeight="1">
      <x:c r="A16" s="1"/>
      <x:c r="B16" s="1"/>
      <x:c r="C16" s="26" t="str">
        <x:v>Greensboro timing</x:v>
      </x:c>
      <x:c r="D16" s="26"/>
      <x:c r="E16" s="27" t="str">
        <x:v>Reported laser production target mid-2028 is beyond the holding horizon. Factory funding is not current earnings.</x:v>
      </x:c>
      <x:c r="F16" s="27" t="str">
        <x:v>https://www.marketwatch.com/story/lumentum-sees-sales-more-than-double-as-ai-demand-swells-6ebe6ef1</x:v>
      </x:c>
      <x:c r="G16" s="27" t="str"/>
      <x:c r="H16" s="2"/>
      <x:c r="I16" s="2"/>
      <x:c r="J16" s="2"/>
      <x:c r="K16" s="2"/>
      <x:c r="L16" s="2"/>
      <x:c r="M16" s="2"/>
      <x:c r="N16" s="2"/>
      <x:c r="O16" s="2"/>
      <x:c r="P16" s="2"/>
      <x:c r="Q16" s="1"/>
      <x:c r="R16" s="1"/>
    </x:row>
    <x:row r="17" ht="64" customHeight="1">
      <x:c r="A17" s="1"/>
      <x:c r="B17" s="1"/>
      <x:c r="C17" s="26" t="str">
        <x:v>Operational risk</x:v>
      </x:c>
      <x:c r="D17" s="26"/>
      <x:c r="E17" s="27" t="str">
        <x:v>Concentration, supply constraints, yields and customer cancellations remain. Strong profitability does not establish least operational risk.</x:v>
      </x:c>
      <x:c r="F17" s="27" t="str">
        <x:v>https://www.sec.gov/Archives/edgar/data/1633978/000162828026057358/lite-20260627.htm</x:v>
      </x:c>
      <x:c r="G17" s="27" t="str"/>
      <x:c r="H17" s="2"/>
      <x:c r="I17" s="2"/>
      <x:c r="J17" s="2"/>
      <x:c r="K17" s="2"/>
      <x:c r="L17" s="2"/>
      <x:c r="M17" s="2"/>
      <x:c r="N17" s="2"/>
      <x:c r="O17" s="2"/>
      <x:c r="P17" s="2"/>
      <x:c r="Q17" s="1"/>
      <x:c r="R17" s="1"/>
    </x:row>
    <x:row r="18" ht="64" customHeight="1">
      <x:c r="A18" s="1"/>
      <x:c r="B18" s="1"/>
      <x:c r="C18" s="26" t="str">
        <x:v>AI-use log</x:v>
      </x:c>
      <x:c r="D18" s="26"/>
      <x:c r="E18" s="27" t="str">
        <x:v>AI retrieved sources, calculated scenarios and wrote formulas. Forecasts are authored assumptions; no primary research or management interviews.</x:v>
      </x:c>
      <x:c r="F18" s="27" t="str"/>
      <x:c r="G18" s="27" t="str"/>
      <x:c r="H18" s="2"/>
      <x:c r="I18" s="2"/>
      <x:c r="J18" s="2"/>
      <x:c r="K18" s="2"/>
      <x:c r="L18" s="2"/>
      <x:c r="M18" s="2"/>
      <x:c r="N18" s="2"/>
      <x:c r="O18" s="2"/>
      <x:c r="P18" s="2"/>
      <x:c r="Q18" s="1"/>
      <x:c r="R18" s="1"/>
    </x:row>
    <x:row r="19" ht="64" customHeight="1">
      <x:c r="A19" s="1"/>
      <x:c r="B19" s="1"/>
      <x:c r="C19" s="26" t="str">
        <x:v>Corrections from earlier discussion</x:v>
      </x:c>
      <x:c r="D19" s="26"/>
      <x:c r="E19" s="27" t="str">
        <x:v>Combined datacenter/communications is not pure AI exposure; historical investment growth does not prove zero causal effect.</x:v>
      </x:c>
      <x:c r="F19" s="27" t="str"/>
      <x:c r="G19" s="27" t="str"/>
      <x:c r="H19" s="2"/>
      <x:c r="I19" s="2"/>
      <x:c r="J19" s="2"/>
      <x:c r="K19" s="2"/>
      <x:c r="L19" s="2"/>
      <x:c r="M19" s="2"/>
      <x:c r="N19" s="2"/>
      <x:c r="O19" s="2"/>
      <x:c r="P19" s="2"/>
      <x:c r="Q19" s="1"/>
      <x:c r="R19" s="1"/>
    </x:row>
    <x:row r="20" ht="64" customHeight="1">
      <x:c r="A20" s="1"/>
      <x:c r="B20" s="1"/>
      <x:c r="C20" s="26" t="str">
        <x:v>Unresolved data</x:v>
      </x:c>
      <x:c r="D20" s="26"/>
      <x:c r="E20" s="27" t="str">
        <x:v>Training/inference split, product units/ASPs, contract cancellation terms and exact current diluted shares remain unavailable.</x:v>
      </x:c>
      <x:c r="F20" s="27" t="str"/>
      <x:c r="G20" s="27" t="str"/>
      <x:c r="H20" s="2"/>
      <x:c r="I20" s="2"/>
      <x:c r="J20" s="2"/>
      <x:c r="K20" s="2"/>
      <x:c r="L20" s="2"/>
      <x:c r="M20" s="2"/>
      <x:c r="N20" s="2"/>
      <x:c r="O20" s="2"/>
      <x:c r="P20" s="2"/>
      <x:c r="Q20" s="1"/>
      <x:c r="R20" s="1"/>
    </x:row>
    <x:row r="21" ht="64" customHeight="1">
      <x:c r="A21" s="1"/>
      <x:c r="B21" s="1"/>
      <x:c r="C21" s="26" t="str">
        <x:v>Accounting limitation</x:v>
      </x:c>
      <x:c r="D21" s="26"/>
      <x:c r="E21" s="27" t="str">
        <x:v>Cash-flow proxy is not a full GAAP three-statement forecast. Opening operating AP is normalized to avoid capex-payable contamination.</x:v>
      </x:c>
      <x:c r="F21" s="27" t="str"/>
      <x:c r="G21" s="27" t="str"/>
      <x:c r="H21" s="2"/>
      <x:c r="I21" s="2"/>
      <x:c r="J21" s="2"/>
      <x:c r="K21" s="2"/>
      <x:c r="L21" s="2"/>
      <x:c r="M21" s="2"/>
      <x:c r="N21" s="2"/>
      <x:c r="O21" s="2"/>
      <x:c r="P21" s="2"/>
      <x:c r="Q21" s="1"/>
      <x:c r="R21" s="1"/>
    </x:row>
    <x:row r="22" ht="64" customHeight="1">
      <x:c r="A22" s="1"/>
      <x:c r="B22" s="1"/>
      <x:c r="C22" s="26"/>
      <x:c r="D22" s="26"/>
      <x:c r="E22" s="27"/>
      <x:c r="F22" s="27"/>
      <x:c r="G22" s="27"/>
      <x:c r="H22" s="2"/>
      <x:c r="I22" s="2"/>
      <x:c r="J22" s="2"/>
      <x:c r="K22" s="2"/>
      <x:c r="L22" s="2"/>
      <x:c r="M22" s="2"/>
      <x:c r="N22" s="2"/>
      <x:c r="O22" s="2"/>
      <x:c r="P22" s="2"/>
      <x:c r="Q22" s="1"/>
      <x:c r="R22" s="1"/>
    </x:row>
    <x:row r="23" ht="64" customHeight="1">
      <x:c r="A23" s="1"/>
      <x:c r="B23" s="1"/>
      <x:c r="C23" s="26"/>
      <x:c r="D23" s="26"/>
      <x:c r="E23" s="27"/>
      <x:c r="F23" s="27"/>
      <x:c r="G23" s="27"/>
      <x:c r="H23" s="2"/>
      <x:c r="I23" s="2"/>
      <x:c r="J23" s="2"/>
      <x:c r="K23" s="2"/>
      <x:c r="L23" s="2"/>
      <x:c r="M23" s="2"/>
      <x:c r="N23" s="2"/>
      <x:c r="O23" s="2"/>
      <x:c r="P23" s="2"/>
      <x:c r="Q23" s="1"/>
      <x:c r="R23" s="1"/>
    </x:row>
    <x:row r="24" ht="64" customHeight="1">
      <x:c r="A24" s="1"/>
      <x:c r="B24" s="1"/>
      <x:c r="C24" s="26"/>
      <x:c r="D24" s="26"/>
      <x:c r="E24" s="27"/>
      <x:c r="F24" s="27"/>
      <x:c r="G24" s="27"/>
      <x:c r="H24" s="2"/>
      <x:c r="I24" s="2"/>
      <x:c r="J24" s="2"/>
      <x:c r="K24" s="2"/>
      <x:c r="L24" s="2"/>
      <x:c r="M24" s="2"/>
      <x:c r="N24" s="2"/>
      <x:c r="O24" s="2"/>
      <x:c r="P24" s="2"/>
      <x:c r="Q24" s="1"/>
      <x:c r="R24" s="1"/>
    </x:row>
    <x:row r="25" ht="21" customHeight="1">
      <x:c r="A25" s="1"/>
      <x:c r="B25" s="1"/>
      <x:c r="C25" s="1"/>
      <x:c r="D25" s="1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1"/>
      <x:c r="R25" s="1"/>
    </x:row>
    <x:row r="26" ht="21" customHeight="1">
      <x:c r="A26" s="1"/>
      <x:c r="B26" s="1"/>
      <x:c r="C26" s="1"/>
      <x:c r="D26" s="1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1"/>
      <x:c r="R26" s="1"/>
    </x:row>
    <x:row r="27" ht="21" customHeight="1">
      <x:c r="A27" s="1"/>
      <x:c r="B27" s="1"/>
      <x:c r="C27" s="1"/>
      <x:c r="D27" s="1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1"/>
      <x:c r="R27" s="1"/>
    </x:row>
    <x:row r="28" ht="21" customHeight="1">
      <x:c r="A28" s="1"/>
      <x:c r="B28" s="1"/>
      <x:c r="C28" s="1"/>
      <x:c r="D28" s="1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1"/>
      <x:c r="R28" s="1"/>
    </x:row>
    <x:row r="29" ht="21" customHeight="1">
      <x:c r="A29" s="1"/>
      <x:c r="B29" s="1"/>
      <x:c r="C29" s="1"/>
      <x:c r="D29" s="1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1"/>
      <x:c r="R29" s="1"/>
    </x:row>
    <x:row r="30" ht="21" customHeight="1">
      <x:c r="A30" s="1"/>
      <x:c r="B30" s="1"/>
      <x:c r="C30" s="1"/>
      <x:c r="D30" s="1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1"/>
      <x:c r="R30" s="1"/>
    </x:row>
    <x:row r="31" ht="21" customHeight="1">
      <x:c r="A31" s="1"/>
      <x:c r="B31" s="1"/>
      <x:c r="C31" s="1"/>
      <x:c r="D31" s="1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1"/>
      <x:c r="R31" s="1"/>
    </x:row>
    <x:row r="32" ht="21" customHeight="1">
      <x:c r="A32" s="1"/>
      <x:c r="B32" s="1"/>
      <x:c r="C32" s="1"/>
      <x:c r="D32" s="1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1"/>
      <x:c r="R32" s="1"/>
    </x:row>
    <x:row r="33" ht="21" customHeight="1">
      <x:c r="A33" s="1"/>
      <x:c r="B33" s="1"/>
      <x:c r="C33" s="1"/>
      <x:c r="D33" s="1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1"/>
      <x:c r="R33" s="1"/>
    </x:row>
    <x:row r="34" ht="21" customHeight="1">
      <x:c r="A34" s="1"/>
      <x:c r="B34" s="1"/>
      <x:c r="C34" s="1"/>
      <x:c r="D34" s="1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1"/>
      <x:c r="R34" s="1"/>
    </x:row>
    <x:row r="35" ht="21" customHeight="1">
      <x:c r="A35" s="1"/>
      <x:c r="B35" s="1"/>
      <x:c r="C35" s="1"/>
      <x:c r="D35" s="1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1"/>
      <x:c r="R35" s="1"/>
    </x:row>
    <x:row r="36" ht="21" customHeight="1">
      <x:c r="A36" s="1"/>
      <x:c r="B36" s="1"/>
      <x:c r="C36" s="1"/>
      <x:c r="D36" s="1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1"/>
      <x:c r="R36" s="1"/>
    </x:row>
    <x:row r="37" ht="21" customHeight="1">
      <x:c r="A37" s="1"/>
      <x:c r="B37" s="1"/>
      <x:c r="C37" s="1"/>
      <x:c r="D37" s="1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1"/>
      <x:c r="R37" s="1"/>
    </x:row>
    <x:row r="38" ht="21" customHeight="1">
      <x:c r="A38" s="1"/>
      <x:c r="B38" s="1"/>
      <x:c r="C38" s="1"/>
      <x:c r="D38" s="1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1"/>
      <x:c r="R38" s="1"/>
    </x:row>
    <x:row r="39" ht="21" customHeight="1">
      <x:c r="A39" s="1"/>
      <x:c r="B39" s="1"/>
      <x:c r="C39" s="1"/>
      <x:c r="D39" s="1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1"/>
      <x:c r="R39" s="1"/>
    </x:row>
    <x:row r="40" ht="21" customHeight="1">
      <x:c r="A40" s="1"/>
      <x:c r="B40" s="1"/>
      <x:c r="C40" s="1"/>
      <x:c r="D40" s="1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1"/>
      <x:c r="R40" s="1"/>
    </x:row>
    <x:row r="41" ht="21" customHeight="1">
      <x:c r="A41" s="1"/>
      <x:c r="B41" s="1"/>
      <x:c r="C41" s="1"/>
      <x:c r="D41" s="1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1"/>
      <x:c r="R41" s="1"/>
    </x:row>
    <x:row r="42" ht="21" customHeight="1">
      <x:c r="A42" s="1"/>
      <x:c r="B42" s="1"/>
      <x:c r="C42" s="1"/>
      <x:c r="D42" s="1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1"/>
      <x:c r="R42" s="1"/>
    </x:row>
    <x:row r="43" ht="21" customHeight="1">
      <x:c r="A43" s="1"/>
      <x:c r="B43" s="1"/>
      <x:c r="C43" s="1"/>
      <x:c r="D43" s="1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1"/>
      <x:c r="R43" s="1"/>
    </x:row>
    <x:row r="44" ht="21" customHeight="1">
      <x:c r="A44" s="1"/>
      <x:c r="B44" s="1"/>
      <x:c r="C44" s="1"/>
      <x:c r="D44" s="1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1"/>
      <x:c r="R44" s="1"/>
    </x:row>
    <x:row r="45" ht="21" customHeight="1">
      <x:c r="A45" s="1"/>
      <x:c r="B45" s="1"/>
      <x:c r="C45" s="1"/>
      <x:c r="D45" s="1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1"/>
      <x:c r="R45" s="1"/>
    </x:row>
    <x:row r="46" ht="21" customHeight="1">
      <x:c r="A46" s="1"/>
      <x:c r="B46" s="1"/>
      <x:c r="C46" s="1"/>
      <x:c r="D46" s="1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1"/>
      <x:c r="R46" s="1"/>
    </x:row>
    <x:row r="47" ht="21" customHeight="1">
      <x:c r="A47" s="1"/>
      <x:c r="B47" s="1"/>
      <x:c r="C47" s="1"/>
      <x:c r="D47" s="1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1"/>
      <x:c r="R47" s="1"/>
    </x:row>
    <x:row r="48" ht="21" customHeight="1">
      <x:c r="A48" s="1"/>
      <x:c r="B48" s="1"/>
      <x:c r="C48" s="1"/>
      <x:c r="D48" s="1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1"/>
      <x:c r="R48" s="1"/>
    </x:row>
    <x:row r="49" ht="21" customHeight="1">
      <x:c r="A49" s="1"/>
      <x:c r="B49" s="1"/>
      <x:c r="C49" s="1"/>
      <x:c r="D49" s="1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1"/>
      <x:c r="R49" s="1"/>
    </x:row>
    <x:row r="50" ht="21" customHeight="1">
      <x:c r="A50" s="1"/>
      <x:c r="B50" s="1"/>
      <x:c r="C50" s="1"/>
      <x:c r="D50" s="1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1"/>
      <x:c r="R50" s="1"/>
    </x:row>
    <x:row r="51" ht="21" customHeight="1">
      <x:c r="A51" s="1"/>
      <x:c r="B51" s="1"/>
      <x:c r="C51" s="1"/>
      <x:c r="D51" s="1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1"/>
      <x:c r="R51" s="1"/>
    </x:row>
    <x:row r="52" ht="21" customHeight="1">
      <x:c r="A52" s="1"/>
      <x:c r="B52" s="1"/>
      <x:c r="C52" s="1"/>
      <x:c r="D52" s="1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1"/>
      <x:c r="R52" s="1"/>
    </x:row>
    <x:row r="53" ht="21" customHeight="1">
      <x:c r="A53" s="1"/>
      <x:c r="B53" s="1"/>
      <x:c r="C53" s="1"/>
      <x:c r="D53" s="1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1"/>
      <x:c r="R53" s="1"/>
    </x:row>
    <x:row r="54" ht="21" customHeight="1">
      <x:c r="A54" s="1"/>
      <x:c r="B54" s="1"/>
      <x:c r="C54" s="1"/>
      <x:c r="D54" s="1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1"/>
      <x:c r="R54" s="1"/>
    </x:row>
    <x:row r="55" ht="21" customHeight="1">
      <x:c r="A55" s="1"/>
      <x:c r="B55" s="1"/>
      <x:c r="C55" s="1"/>
      <x:c r="D55" s="1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1"/>
      <x:c r="R55" s="1"/>
    </x:row>
    <x:row r="56" ht="21" customHeight="1">
      <x:c r="A56" s="1"/>
      <x:c r="B56" s="1"/>
      <x:c r="C56" s="1"/>
      <x:c r="D56" s="1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1"/>
      <x:c r="R56" s="1"/>
    </x:row>
    <x:row r="57" ht="21" customHeight="1">
      <x:c r="A57" s="1"/>
      <x:c r="B57" s="1"/>
      <x:c r="C57" s="1"/>
      <x:c r="D57" s="1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1"/>
      <x:c r="R57" s="1"/>
    </x:row>
    <x:row r="58" ht="21" customHeight="1">
      <x:c r="A58" s="1"/>
      <x:c r="B58" s="1"/>
      <x:c r="C58" s="1"/>
      <x:c r="D58" s="1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1"/>
      <x:c r="R58" s="1"/>
    </x:row>
    <x:row r="59" ht="21" customHeight="1">
      <x:c r="A59" s="1"/>
      <x:c r="B59" s="1"/>
      <x:c r="C59" s="1"/>
      <x:c r="D59" s="1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1"/>
      <x:c r="R59" s="1"/>
    </x:row>
    <x:row r="60" ht="21" customHeight="1">
      <x:c r="A60" s="1"/>
      <x:c r="B60" s="1"/>
      <x:c r="C60" s="1"/>
      <x:c r="D60" s="1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1"/>
      <x:c r="R60" s="1"/>
    </x:row>
    <x:row r="61" ht="21" customHeight="1">
      <x:c r="A61" s="1"/>
      <x:c r="B61" s="1"/>
      <x:c r="C61" s="1"/>
      <x:c r="D61" s="1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1"/>
      <x:c r="R61" s="1"/>
    </x:row>
    <x:row r="62" ht="21" customHeight="1">
      <x:c r="A62" s="1"/>
      <x:c r="B62" s="1"/>
      <x:c r="C62" s="1"/>
      <x:c r="D62" s="1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1"/>
      <x:c r="R62" s="1"/>
    </x:row>
    <x:row r="63" ht="21" customHeight="1">
      <x:c r="A63" s="1"/>
      <x:c r="B63" s="1"/>
      <x:c r="C63" s="1"/>
      <x:c r="D63" s="1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1"/>
      <x:c r="R63" s="1"/>
    </x:row>
    <x:row r="64" ht="21" customHeight="1">
      <x:c r="A64" s="1"/>
      <x:c r="B64" s="1"/>
      <x:c r="C64" s="1"/>
      <x:c r="D64" s="1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1"/>
      <x:c r="R64" s="1"/>
    </x:row>
    <x:row r="65" ht="21" customHeight="1">
      <x:c r="A65" s="1"/>
      <x:c r="B65" s="1"/>
      <x:c r="C65" s="1"/>
      <x:c r="D65" s="1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1"/>
      <x:c r="R65" s="1"/>
    </x:row>
    <x:row r="66" ht="21" customHeight="1">
      <x:c r="A66" s="1"/>
      <x:c r="B66" s="1"/>
      <x:c r="C66" s="1"/>
      <x:c r="D66" s="1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1"/>
      <x:c r="R66" s="1"/>
    </x:row>
    <x:row r="67" ht="21" customHeight="1">
      <x:c r="A67" s="1"/>
      <x:c r="B67" s="1"/>
      <x:c r="C67" s="1"/>
      <x:c r="D67" s="1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1"/>
      <x:c r="R67" s="1"/>
    </x:row>
    <x:row r="68" ht="21" customHeight="1">
      <x:c r="A68" s="1"/>
      <x:c r="B68" s="1"/>
      <x:c r="C68" s="1"/>
      <x:c r="D68" s="1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1"/>
      <x:c r="R68" s="1"/>
    </x:row>
    <x:row r="69" ht="21" customHeight="1">
      <x:c r="A69" s="1"/>
      <x:c r="B69" s="1"/>
      <x:c r="C69" s="1"/>
      <x:c r="D69" s="1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1"/>
      <x:c r="R69" s="1"/>
    </x:row>
    <x:row r="70" ht="21" customHeight="1">
      <x:c r="A70" s="1"/>
      <x:c r="B70" s="1"/>
      <x:c r="C70" s="1"/>
      <x:c r="D70" s="1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1"/>
      <x:c r="R70" s="1"/>
    </x:row>
    <x:row r="71" ht="21" customHeight="1">
      <x:c r="A71" s="1"/>
      <x:c r="B71" s="1"/>
      <x:c r="C71" s="1"/>
      <x:c r="D71" s="1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1"/>
      <x:c r="R71" s="1"/>
    </x:row>
    <x:row r="72" ht="21" customHeight="1">
      <x:c r="A72" s="1"/>
      <x:c r="B72" s="1"/>
      <x:c r="C72" s="1"/>
      <x:c r="D72" s="1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1"/>
      <x:c r="R72" s="1"/>
    </x:row>
    <x:row r="73" ht="21" customHeight="1">
      <x:c r="A73" s="1"/>
      <x:c r="B73" s="1"/>
      <x:c r="C73" s="1"/>
      <x:c r="D73" s="1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1"/>
      <x:c r="R73" s="1"/>
    </x:row>
    <x:row r="74" ht="21" customHeight="1">
      <x:c r="A74" s="1"/>
      <x:c r="B74" s="1"/>
      <x:c r="C74" s="1"/>
      <x:c r="D74" s="1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1"/>
      <x:c r="R74" s="1"/>
    </x:row>
    <x:row r="75" ht="21" customHeight="1">
      <x:c r="A75" s="1"/>
      <x:c r="B75" s="1"/>
      <x:c r="C75" s="1"/>
      <x:c r="D75" s="1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1"/>
      <x:c r="R75" s="1"/>
    </x:row>
    <x:row r="76" ht="21" customHeight="1">
      <x:c r="A76" s="1"/>
      <x:c r="B76" s="1"/>
      <x:c r="C76" s="1"/>
      <x:c r="D76" s="1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1"/>
      <x:c r="R76" s="1"/>
    </x:row>
    <x:row r="77" ht="21" customHeight="1">
      <x:c r="A77" s="1"/>
      <x:c r="B77" s="1"/>
      <x:c r="C77" s="1"/>
      <x:c r="D77" s="1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1"/>
      <x:c r="R77" s="1"/>
    </x:row>
    <x:row r="78" ht="21" customHeight="1">
      <x:c r="A78" s="1"/>
      <x:c r="B78" s="1"/>
      <x:c r="C78" s="1"/>
      <x:c r="D78" s="1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1"/>
      <x:c r="R78" s="1"/>
    </x:row>
    <x:row r="79" ht="21" customHeight="1">
      <x:c r="A79" s="1"/>
      <x:c r="B79" s="1"/>
      <x:c r="C79" s="1"/>
      <x:c r="D79" s="1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1"/>
      <x:c r="R79" s="1"/>
    </x:row>
    <x:row r="80" ht="21" customHeight="1">
      <x:c r="A80" s="1"/>
      <x:c r="B80" s="1"/>
      <x:c r="C80" s="1"/>
      <x:c r="D80" s="1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1"/>
      <x:c r="R80" s="1"/>
    </x:row>
    <x:row r="81" ht="21" customHeight="1">
      <x:c r="A81" s="1"/>
      <x:c r="B81" s="1"/>
      <x:c r="C81" s="1"/>
      <x:c r="D81" s="1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1"/>
      <x:c r="R81" s="1"/>
    </x:row>
    <x:row r="82" ht="21" customHeight="1">
      <x:c r="A82" s="1"/>
      <x:c r="B82" s="1"/>
      <x:c r="C82" s="1"/>
      <x:c r="D82" s="1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1"/>
      <x:c r="R82" s="1"/>
    </x:row>
    <x:row r="83" ht="21" customHeight="1">
      <x:c r="A83" s="1"/>
      <x:c r="B83" s="1"/>
      <x:c r="C83" s="1"/>
      <x:c r="D83" s="1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1"/>
      <x:c r="R83" s="1"/>
    </x:row>
    <x:row r="84" ht="21" customHeight="1">
      <x:c r="A84" s="1"/>
      <x:c r="B84" s="1"/>
      <x:c r="C84" s="1"/>
      <x:c r="D84" s="1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1"/>
      <x:c r="R84" s="1"/>
    </x:row>
    <x:row r="85" ht="21" customHeight="1">
      <x:c r="A85" s="1"/>
      <x:c r="B85" s="1"/>
      <x:c r="C85" s="1"/>
      <x:c r="D85" s="1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1"/>
      <x:c r="R85" s="1"/>
    </x:row>
    <x:row r="86" ht="21" customHeight="1">
      <x:c r="A86" s="1"/>
      <x:c r="B86" s="1"/>
      <x:c r="C86" s="1"/>
      <x:c r="D86" s="1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1"/>
      <x:c r="R86" s="1"/>
    </x:row>
    <x:row r="87" ht="21" customHeight="1">
      <x:c r="A87" s="1"/>
      <x:c r="B87" s="1"/>
      <x:c r="C87" s="1"/>
      <x:c r="D87" s="1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1"/>
      <x:c r="R87" s="1"/>
    </x:row>
    <x:row r="88" ht="21" customHeight="1">
      <x:c r="A88" s="1"/>
      <x:c r="B88" s="1"/>
      <x:c r="C88" s="1"/>
      <x:c r="D88" s="1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1"/>
      <x:c r="R88" s="1"/>
    </x:row>
    <x:row r="89" ht="21" customHeight="1">
      <x:c r="A89" s="1"/>
      <x:c r="B89" s="1"/>
      <x:c r="C89" s="1"/>
      <x:c r="D89" s="1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1"/>
      <x:c r="R89" s="1"/>
    </x:row>
    <x:row r="90" ht="21" customHeight="1">
      <x:c r="A90" s="1"/>
      <x:c r="B90" s="1"/>
      <x:c r="C90" s="1"/>
      <x:c r="D90" s="1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1"/>
      <x:c r="R90" s="1"/>
    </x:row>
    <x:row r="91" ht="21" customHeight="1">
      <x:c r="A91" s="1"/>
      <x:c r="B91" s="1"/>
      <x:c r="C91" s="1"/>
      <x:c r="D91" s="1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1"/>
      <x:c r="R91" s="1"/>
    </x:row>
    <x:row r="92" ht="21" customHeight="1">
      <x:c r="A92" s="1"/>
      <x:c r="B92" s="1"/>
      <x:c r="C92" s="1"/>
      <x:c r="D92" s="1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1"/>
      <x:c r="R92" s="1"/>
    </x:row>
    <x:row r="93" ht="21" customHeight="1">
      <x:c r="A93" s="1"/>
      <x:c r="B93" s="1"/>
      <x:c r="C93" s="1"/>
      <x:c r="D93" s="1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1"/>
      <x:c r="R93" s="1"/>
    </x:row>
    <x:row r="94" ht="21" customHeight="1">
      <x:c r="A94" s="1"/>
      <x:c r="B94" s="1"/>
      <x:c r="C94" s="1"/>
      <x:c r="D94" s="1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1"/>
      <x:c r="R94" s="1"/>
    </x:row>
    <x:row r="95" ht="21" customHeight="1">
      <x:c r="A95" s="1"/>
      <x:c r="B95" s="1"/>
      <x:c r="C95" s="1"/>
      <x:c r="D95" s="1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1"/>
      <x:c r="R95" s="1"/>
    </x:row>
    <x:row r="96" ht="21" customHeight="1">
      <x:c r="A96" s="1"/>
      <x:c r="B96" s="1"/>
      <x:c r="C96" s="1"/>
      <x:c r="D96" s="1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1"/>
      <x:c r="R96" s="1"/>
    </x:row>
    <x:row r="97" ht="21" customHeight="1">
      <x:c r="A97" s="1"/>
      <x:c r="B97" s="1"/>
      <x:c r="C97" s="1"/>
      <x:c r="D97" s="1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1"/>
      <x:c r="R97" s="1"/>
    </x:row>
    <x:row r="98" ht="21" customHeight="1">
      <x:c r="A98" s="1"/>
      <x:c r="B98" s="1"/>
      <x:c r="C98" s="1"/>
      <x:c r="D98" s="1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1"/>
      <x:c r="R98" s="1"/>
    </x:row>
    <x:row r="99" ht="21" customHeight="1">
      <x:c r="A99" s="1"/>
      <x:c r="B99" s="1"/>
      <x:c r="C99" s="1"/>
      <x:c r="D99" s="1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1"/>
      <x:c r="R99" s="1"/>
    </x:row>
    <x:row r="100" ht="21" customHeight="1">
      <x:c r="A100" s="1"/>
      <x:c r="B100" s="1"/>
      <x:c r="C100" s="1"/>
      <x:c r="D100" s="1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1"/>
      <x:c r="R100" s="1"/>
    </x:row>
    <x:row r="101" ht="21" customHeight="1">
      <x:c r="A101" s="1"/>
      <x:c r="B101" s="1"/>
      <x:c r="C101" s="1"/>
      <x:c r="D101" s="1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1"/>
      <x:c r="R101" s="1"/>
    </x:row>
    <x:row r="102" ht="21" customHeight="1">
      <x:c r="A102" s="1"/>
      <x:c r="B102" s="1"/>
      <x:c r="C102" s="1"/>
      <x:c r="D102" s="1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1"/>
      <x:c r="R102" s="1"/>
    </x:row>
    <x:row r="103" ht="21" customHeight="1">
      <x:c r="A103" s="1"/>
      <x:c r="B103" s="1"/>
      <x:c r="C103" s="1"/>
      <x:c r="D103" s="1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1"/>
      <x:c r="R103" s="1"/>
    </x:row>
    <x:row r="104" ht="21" customHeight="1">
      <x:c r="A104" s="1"/>
      <x:c r="B104" s="1"/>
      <x:c r="C104" s="1"/>
      <x:c r="D104" s="1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1"/>
      <x:c r="R104" s="1"/>
    </x:row>
    <x:row r="105" ht="21" customHeight="1">
      <x:c r="A105" s="1"/>
      <x:c r="B105" s="1"/>
      <x:c r="C105" s="1"/>
      <x:c r="D105" s="1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1"/>
      <x:c r="R105" s="1"/>
    </x:row>
    <x:row r="106" ht="21" customHeight="1">
      <x:c r="A106" s="1"/>
      <x:c r="B106" s="1"/>
      <x:c r="C106" s="1"/>
      <x:c r="D106" s="1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1"/>
      <x:c r="R106" s="1"/>
    </x:row>
    <x:row r="107" ht="21" customHeight="1">
      <x:c r="A107" s="1"/>
      <x:c r="B107" s="1"/>
      <x:c r="C107" s="1"/>
      <x:c r="D107" s="1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1"/>
      <x:c r="R107" s="1"/>
    </x:row>
    <x:row r="108" ht="21" customHeight="1">
      <x:c r="A108" s="1"/>
      <x:c r="B108" s="1"/>
      <x:c r="C108" s="1"/>
      <x:c r="D108" s="1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1"/>
      <x:c r="R108" s="1"/>
    </x:row>
    <x:row r="109" ht="21" customHeight="1">
      <x:c r="A109" s="1"/>
      <x:c r="B109" s="1"/>
      <x:c r="C109" s="1"/>
      <x:c r="D109" s="1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1"/>
      <x:c r="R109" s="1"/>
    </x:row>
    <x:row r="110" ht="21" customHeight="1">
      <x:c r="A110" s="1"/>
      <x:c r="B110" s="1"/>
      <x:c r="C110" s="1"/>
      <x:c r="D110" s="1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1"/>
      <x:c r="R110" s="1"/>
    </x:row>
    <x:row r="111" ht="21" customHeight="1">
      <x:c r="A111" s="1"/>
      <x:c r="B111" s="1"/>
      <x:c r="C111" s="1"/>
      <x:c r="D111" s="1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1"/>
      <x:c r="R111" s="1"/>
    </x:row>
    <x:row r="112" ht="21" customHeight="1">
      <x:c r="A112" s="1"/>
      <x:c r="B112" s="1"/>
      <x:c r="C112" s="1"/>
      <x:c r="D112" s="1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1"/>
      <x:c r="R112" s="1"/>
    </x:row>
    <x:row r="113" ht="21" customHeight="1">
      <x:c r="A113" s="1"/>
      <x:c r="B113" s="1"/>
      <x:c r="C113" s="1"/>
      <x:c r="D113" s="1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1"/>
      <x:c r="R113" s="1"/>
    </x:row>
    <x:row r="114" ht="21" customHeight="1">
      <x:c r="A114" s="1"/>
      <x:c r="B114" s="1"/>
      <x:c r="C114" s="1"/>
      <x:c r="D114" s="1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1"/>
      <x:c r="R114" s="1"/>
    </x:row>
    <x:row r="115" ht="21" customHeight="1">
      <x:c r="A115" s="1"/>
      <x:c r="B115" s="1"/>
      <x:c r="C115" s="1"/>
      <x:c r="D115" s="1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1"/>
      <x:c r="R115" s="1"/>
    </x:row>
    <x:row r="116" ht="21" customHeight="1">
      <x:c r="A116" s="1"/>
      <x:c r="B116" s="1"/>
      <x:c r="C116" s="1"/>
      <x:c r="D116" s="1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1"/>
      <x:c r="R116" s="1"/>
    </x:row>
    <x:row r="117" ht="21" customHeight="1">
      <x:c r="A117" s="1"/>
      <x:c r="B117" s="1"/>
      <x:c r="C117" s="1"/>
      <x:c r="D117" s="1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1"/>
      <x:c r="R117" s="1"/>
    </x:row>
    <x:row r="118" ht="21" customHeight="1">
      <x:c r="A118" s="1"/>
      <x:c r="B118" s="1"/>
      <x:c r="C118" s="1"/>
      <x:c r="D118" s="1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1"/>
      <x:c r="R118" s="1"/>
    </x:row>
    <x:row r="119" ht="21" customHeight="1">
      <x:c r="A119" s="1"/>
      <x:c r="B119" s="1"/>
      <x:c r="C119" s="1"/>
      <x:c r="D119" s="1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1"/>
      <x:c r="R119" s="1"/>
    </x:row>
    <x:row r="120" ht="21" customHeight="1">
      <x:c r="A120" s="1"/>
      <x:c r="B120" s="1"/>
      <x:c r="C120" s="1"/>
      <x:c r="D120" s="1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1"/>
      <x:c r="R120" s="1"/>
    </x:row>
    <x:row r="121" ht="21" customHeight="1">
      <x:c r="A121" s="1"/>
      <x:c r="B121" s="1"/>
      <x:c r="C121" s="1"/>
      <x:c r="D121" s="1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1"/>
      <x:c r="R121" s="1"/>
    </x:row>
    <x:row r="122" ht="21" customHeight="1">
      <x:c r="A122" s="1"/>
      <x:c r="B122" s="1"/>
      <x:c r="C122" s="1"/>
      <x:c r="D122" s="1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1"/>
      <x:c r="R122" s="1"/>
    </x:row>
    <x:row r="123" ht="21" customHeight="1">
      <x:c r="A123" s="1"/>
      <x:c r="B123" s="1"/>
      <x:c r="C123" s="1"/>
      <x:c r="D123" s="1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1"/>
      <x:c r="R123" s="1"/>
    </x:row>
    <x:row r="124" ht="21" customHeight="1">
      <x:c r="A124" s="1"/>
      <x:c r="B124" s="1"/>
      <x:c r="C124" s="1"/>
      <x:c r="D124" s="1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1"/>
      <x:c r="R124" s="1"/>
    </x:row>
    <x:row r="125" ht="21" customHeight="1">
      <x:c r="A125" s="1"/>
      <x:c r="B125" s="1"/>
      <x:c r="C125" s="1"/>
      <x:c r="D125" s="1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1"/>
      <x:c r="R125" s="1"/>
    </x:row>
    <x:row r="126" ht="21" customHeight="1">
      <x:c r="A126" s="1"/>
      <x:c r="B126" s="1"/>
      <x:c r="C126" s="1"/>
      <x:c r="D126" s="1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1"/>
      <x:c r="R126" s="1"/>
    </x:row>
    <x:row r="127" ht="21" customHeight="1">
      <x:c r="A127" s="1"/>
      <x:c r="B127" s="1"/>
      <x:c r="C127" s="1"/>
      <x:c r="D127" s="1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1"/>
      <x:c r="R127" s="1"/>
    </x:row>
    <x:row r="128" ht="21" customHeight="1">
      <x:c r="A128" s="1"/>
      <x:c r="B128" s="1"/>
      <x:c r="C128" s="1"/>
      <x:c r="D128" s="1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1"/>
      <x:c r="R128" s="1"/>
    </x:row>
    <x:row r="129" ht="21" customHeight="1">
      <x:c r="A129" s="1"/>
      <x:c r="B129" s="1"/>
      <x:c r="C129" s="1"/>
      <x:c r="D129" s="1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1"/>
      <x:c r="R129" s="1"/>
    </x:row>
    <x:row r="130" ht="21" customHeight="1">
      <x:c r="A130" s="1"/>
      <x:c r="B130" s="1"/>
      <x:c r="C130" s="1"/>
      <x:c r="D130" s="1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1"/>
      <x:c r="R130" s="1"/>
    </x:row>
    <x:row r="131" ht="21" customHeight="1">
      <x:c r="A131" s="1"/>
      <x:c r="B131" s="1"/>
      <x:c r="C131" s="1"/>
      <x:c r="D131" s="1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1"/>
      <x:c r="R131" s="1"/>
    </x:row>
    <x:row r="132" ht="21" customHeight="1">
      <x:c r="A132" s="1"/>
      <x:c r="B132" s="1"/>
      <x:c r="C132" s="1"/>
      <x:c r="D132" s="1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1"/>
      <x:c r="R132" s="1"/>
    </x:row>
    <x:row r="133" ht="21" customHeight="1">
      <x:c r="A133" s="1"/>
      <x:c r="B133" s="1"/>
      <x:c r="C133" s="1"/>
      <x:c r="D133" s="1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1"/>
      <x:c r="R133" s="1"/>
    </x:row>
    <x:row r="134" ht="21" customHeight="1">
      <x:c r="A134" s="1"/>
      <x:c r="B134" s="1"/>
      <x:c r="C134" s="1"/>
      <x:c r="D134" s="1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1"/>
      <x:c r="R134" s="1"/>
    </x:row>
    <x:row r="135" ht="21" customHeight="1">
      <x:c r="A135" s="1"/>
      <x:c r="B135" s="1"/>
      <x:c r="C135" s="1"/>
      <x:c r="D135" s="1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1"/>
      <x:c r="R135" s="1"/>
    </x:row>
    <x:row r="136" ht="21" customHeight="1">
      <x:c r="A136" s="1"/>
      <x:c r="B136" s="1"/>
      <x:c r="C136" s="1"/>
      <x:c r="D136" s="1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1"/>
      <x:c r="R136" s="1"/>
    </x:row>
    <x:row r="137" ht="21" customHeight="1">
      <x:c r="A137" s="1"/>
      <x:c r="B137" s="1"/>
      <x:c r="C137" s="1"/>
      <x:c r="D137" s="1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1"/>
      <x:c r="R137" s="1"/>
    </x:row>
    <x:row r="138" ht="21" customHeight="1">
      <x:c r="A138" s="1"/>
      <x:c r="B138" s="1"/>
      <x:c r="C138" s="1"/>
      <x:c r="D138" s="1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1"/>
      <x:c r="R138" s="1"/>
    </x:row>
    <x:row r="139" ht="21" customHeight="1">
      <x:c r="A139" s="1"/>
      <x:c r="B139" s="1"/>
      <x:c r="C139" s="1"/>
      <x:c r="D139" s="1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1"/>
      <x:c r="R139" s="1"/>
    </x:row>
    <x:row r="140" ht="21" customHeight="1">
      <x:c r="A140" s="1"/>
      <x:c r="B140" s="1"/>
      <x:c r="C140" s="1"/>
      <x:c r="D140" s="1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1"/>
      <x:c r="R140" s="1"/>
    </x:row>
    <x:row r="141" ht="21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</x:row>
    <x:row r="142" ht="21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</x:row>
    <x:row r="143" ht="21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</x:row>
    <x:row r="144" ht="21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</x:row>
    <x:row r="145" ht="21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</x:row>
    <x:row r="146" ht="21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</x:row>
    <x:row r="147" ht="21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</x:row>
    <x:row r="148" ht="21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</x:row>
    <x:row r="149" ht="21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</x:row>
    <x:row r="150" ht="21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</x:row>
  </x:sheetData>
  <x:pageMargins left="0.7" right="0.7" top="0.75" bottom="0.75" header="0.3" footer="0.3"/>
</x:worksheet>
</file>